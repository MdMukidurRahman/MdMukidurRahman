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/Downloads/"/>
    </mc:Choice>
  </mc:AlternateContent>
  <xr:revisionPtr revIDLastSave="0" documentId="13_ncr:1_{48813A5A-6208-4240-86B8-FDBA63656614}" xr6:coauthVersionLast="47" xr6:coauthVersionMax="47" xr10:uidLastSave="{00000000-0000-0000-0000-000000000000}"/>
  <bookViews>
    <workbookView xWindow="11140" yWindow="4340" windowWidth="20720" windowHeight="13160" firstSheet="2" activeTab="6" xr2:uid="{4797AC53-97C7-476A-A517-1D9BE9D8DDDB}"/>
  </bookViews>
  <sheets>
    <sheet name="Problem 1" sheetId="7" r:id="rId1"/>
    <sheet name="Sensitivity Report 1" sheetId="8" r:id="rId2"/>
    <sheet name="Original Optimal Soln" sheetId="1" r:id="rId3"/>
    <sheet name="Inx X1 Obj by 75" sheetId="10" r:id="rId4"/>
    <sheet name="dec X2 Obj Coeff by 60" sheetId="11" r:id="rId5"/>
    <sheet name="inc pumps by 5 pumps" sheetId="12" r:id="rId6"/>
    <sheet name="dec Labor by 99 hrs " sheetId="13" r:id="rId7"/>
  </sheets>
  <definedNames>
    <definedName name="solver_adj" localSheetId="6" hidden="1">'dec Labor by 99 hrs '!$B$2:$B$3</definedName>
    <definedName name="solver_adj" localSheetId="4" hidden="1">'dec X2 Obj Coeff by 60'!$B$2:$B$3</definedName>
    <definedName name="solver_adj" localSheetId="5" hidden="1">'inc pumps by 5 pumps'!$B$2:$B$3</definedName>
    <definedName name="solver_adj" localSheetId="3" hidden="1">'Inx X1 Obj by 75'!$B$2:$B$3</definedName>
    <definedName name="solver_adj" localSheetId="2" hidden="1">'Original Optimal Soln'!$B$2:$B$3</definedName>
    <definedName name="solver_cvg" localSheetId="6" hidden="1">0.0001</definedName>
    <definedName name="solver_cvg" localSheetId="4" hidden="1">0.0001</definedName>
    <definedName name="solver_cvg" localSheetId="5" hidden="1">0.0001</definedName>
    <definedName name="solver_cvg" localSheetId="3" hidden="1">0.0001</definedName>
    <definedName name="solver_cvg" localSheetId="2" hidden="1">0.0001</definedName>
    <definedName name="solver_drv" localSheetId="6" hidden="1">1</definedName>
    <definedName name="solver_drv" localSheetId="4" hidden="1">1</definedName>
    <definedName name="solver_drv" localSheetId="5" hidden="1">1</definedName>
    <definedName name="solver_drv" localSheetId="3" hidden="1">1</definedName>
    <definedName name="solver_drv" localSheetId="2" hidden="1">1</definedName>
    <definedName name="solver_eng" localSheetId="6" hidden="1">2</definedName>
    <definedName name="solver_eng" localSheetId="4" hidden="1">2</definedName>
    <definedName name="solver_eng" localSheetId="5" hidden="1">2</definedName>
    <definedName name="solver_eng" localSheetId="3" hidden="1">2</definedName>
    <definedName name="solver_eng" localSheetId="2" hidden="1">2</definedName>
    <definedName name="solver_est" localSheetId="6" hidden="1">1</definedName>
    <definedName name="solver_est" localSheetId="4" hidden="1">1</definedName>
    <definedName name="solver_est" localSheetId="5" hidden="1">1</definedName>
    <definedName name="solver_est" localSheetId="3" hidden="1">1</definedName>
    <definedName name="solver_est" localSheetId="2" hidden="1">1</definedName>
    <definedName name="solver_itr" localSheetId="6" hidden="1">2147483647</definedName>
    <definedName name="solver_itr" localSheetId="4" hidden="1">2147483647</definedName>
    <definedName name="solver_itr" localSheetId="5" hidden="1">2147483647</definedName>
    <definedName name="solver_itr" localSheetId="3" hidden="1">2147483647</definedName>
    <definedName name="solver_itr" localSheetId="2" hidden="1">2147483647</definedName>
    <definedName name="solver_lhs1" localSheetId="6" hidden="1">'dec Labor by 99 hrs '!$B$7:$B$9</definedName>
    <definedName name="solver_lhs1" localSheetId="4" hidden="1">'dec X2 Obj Coeff by 60'!$B$7:$B$9</definedName>
    <definedName name="solver_lhs1" localSheetId="5" hidden="1">'inc pumps by 5 pumps'!$B$7:$B$9</definedName>
    <definedName name="solver_lhs1" localSheetId="3" hidden="1">'Inx X1 Obj by 75'!$B$7:$B$9</definedName>
    <definedName name="solver_lhs1" localSheetId="2" hidden="1">'Original Optimal Soln'!$B$7:$B$9</definedName>
    <definedName name="solver_lhs2" localSheetId="6" hidden="1">'dec Labor by 99 hrs '!$B$7:$B$9</definedName>
    <definedName name="solver_lhs2" localSheetId="4" hidden="1">'dec X2 Obj Coeff by 60'!$B$7:$B$9</definedName>
    <definedName name="solver_lhs2" localSheetId="5" hidden="1">'inc pumps by 5 pumps'!$B$7:$B$9</definedName>
    <definedName name="solver_lhs2" localSheetId="3" hidden="1">'Inx X1 Obj by 75'!$B$7:$B$9</definedName>
    <definedName name="solver_lhs2" localSheetId="2" hidden="1">'Original Optimal Soln'!$B$7:$B$9</definedName>
    <definedName name="solver_lin" localSheetId="6" hidden="1">1</definedName>
    <definedName name="solver_lin" localSheetId="4" hidden="1">1</definedName>
    <definedName name="solver_lin" localSheetId="5" hidden="1">1</definedName>
    <definedName name="solver_lin" localSheetId="3" hidden="1">1</definedName>
    <definedName name="solver_lin" localSheetId="2" hidden="1">1</definedName>
    <definedName name="solver_mip" localSheetId="6" hidden="1">2147483647</definedName>
    <definedName name="solver_mip" localSheetId="4" hidden="1">2147483647</definedName>
    <definedName name="solver_mip" localSheetId="5" hidden="1">2147483647</definedName>
    <definedName name="solver_mip" localSheetId="3" hidden="1">2147483647</definedName>
    <definedName name="solver_mip" localSheetId="2" hidden="1">2147483647</definedName>
    <definedName name="solver_mni" localSheetId="6" hidden="1">30</definedName>
    <definedName name="solver_mni" localSheetId="4" hidden="1">30</definedName>
    <definedName name="solver_mni" localSheetId="5" hidden="1">30</definedName>
    <definedName name="solver_mni" localSheetId="3" hidden="1">30</definedName>
    <definedName name="solver_mni" localSheetId="2" hidden="1">30</definedName>
    <definedName name="solver_mrt" localSheetId="6" hidden="1">0.075</definedName>
    <definedName name="solver_mrt" localSheetId="4" hidden="1">0.075</definedName>
    <definedName name="solver_mrt" localSheetId="5" hidden="1">0.075</definedName>
    <definedName name="solver_mrt" localSheetId="3" hidden="1">0.075</definedName>
    <definedName name="solver_mrt" localSheetId="2" hidden="1">0.075</definedName>
    <definedName name="solver_msl" localSheetId="6" hidden="1">2</definedName>
    <definedName name="solver_msl" localSheetId="4" hidden="1">2</definedName>
    <definedName name="solver_msl" localSheetId="5" hidden="1">2</definedName>
    <definedName name="solver_msl" localSheetId="3" hidden="1">2</definedName>
    <definedName name="solver_msl" localSheetId="2" hidden="1">2</definedName>
    <definedName name="solver_neg" localSheetId="6" hidden="1">1</definedName>
    <definedName name="solver_neg" localSheetId="4" hidden="1">1</definedName>
    <definedName name="solver_neg" localSheetId="5" hidden="1">1</definedName>
    <definedName name="solver_neg" localSheetId="3" hidden="1">1</definedName>
    <definedName name="solver_neg" localSheetId="2" hidden="1">1</definedName>
    <definedName name="solver_nod" localSheetId="6" hidden="1">2147483647</definedName>
    <definedName name="solver_nod" localSheetId="4" hidden="1">2147483647</definedName>
    <definedName name="solver_nod" localSheetId="5" hidden="1">2147483647</definedName>
    <definedName name="solver_nod" localSheetId="3" hidden="1">2147483647</definedName>
    <definedName name="solver_nod" localSheetId="2" hidden="1">2147483647</definedName>
    <definedName name="solver_num" localSheetId="6" hidden="1">1</definedName>
    <definedName name="solver_num" localSheetId="4" hidden="1">1</definedName>
    <definedName name="solver_num" localSheetId="5" hidden="1">1</definedName>
    <definedName name="solver_num" localSheetId="3" hidden="1">1</definedName>
    <definedName name="solver_num" localSheetId="2" hidden="1">1</definedName>
    <definedName name="solver_nwt" localSheetId="6" hidden="1">1</definedName>
    <definedName name="solver_nwt" localSheetId="4" hidden="1">1</definedName>
    <definedName name="solver_nwt" localSheetId="5" hidden="1">1</definedName>
    <definedName name="solver_nwt" localSheetId="3" hidden="1">1</definedName>
    <definedName name="solver_nwt" localSheetId="2" hidden="1">1</definedName>
    <definedName name="solver_opt" localSheetId="6" hidden="1">'dec Labor by 99 hrs '!$B$5</definedName>
    <definedName name="solver_opt" localSheetId="4" hidden="1">'dec X2 Obj Coeff by 60'!$B$5</definedName>
    <definedName name="solver_opt" localSheetId="5" hidden="1">'inc pumps by 5 pumps'!$B$5</definedName>
    <definedName name="solver_opt" localSheetId="3" hidden="1">'Inx X1 Obj by 75'!$B$5</definedName>
    <definedName name="solver_opt" localSheetId="2" hidden="1">'Original Optimal Soln'!$B$5</definedName>
    <definedName name="solver_pre" localSheetId="6" hidden="1">0.000001</definedName>
    <definedName name="solver_pre" localSheetId="4" hidden="1">0.000001</definedName>
    <definedName name="solver_pre" localSheetId="5" hidden="1">0.000001</definedName>
    <definedName name="solver_pre" localSheetId="3" hidden="1">0.000001</definedName>
    <definedName name="solver_pre" localSheetId="2" hidden="1">0.000001</definedName>
    <definedName name="solver_rbv" localSheetId="6" hidden="1">1</definedName>
    <definedName name="solver_rbv" localSheetId="4" hidden="1">1</definedName>
    <definedName name="solver_rbv" localSheetId="5" hidden="1">1</definedName>
    <definedName name="solver_rbv" localSheetId="3" hidden="1">1</definedName>
    <definedName name="solver_rbv" localSheetId="2" hidden="1">1</definedName>
    <definedName name="solver_rel1" localSheetId="6" hidden="1">1</definedName>
    <definedName name="solver_rel1" localSheetId="4" hidden="1">1</definedName>
    <definedName name="solver_rel1" localSheetId="5" hidden="1">1</definedName>
    <definedName name="solver_rel1" localSheetId="3" hidden="1">1</definedName>
    <definedName name="solver_rel1" localSheetId="2" hidden="1">1</definedName>
    <definedName name="solver_rel2" localSheetId="6" hidden="1">1</definedName>
    <definedName name="solver_rel2" localSheetId="4" hidden="1">1</definedName>
    <definedName name="solver_rel2" localSheetId="5" hidden="1">1</definedName>
    <definedName name="solver_rel2" localSheetId="3" hidden="1">1</definedName>
    <definedName name="solver_rel2" localSheetId="2" hidden="1">1</definedName>
    <definedName name="solver_rhs1" localSheetId="6" hidden="1">'dec Labor by 99 hrs '!$D$7:$D$9</definedName>
    <definedName name="solver_rhs1" localSheetId="4" hidden="1">'dec X2 Obj Coeff by 60'!$D$7:$D$9</definedName>
    <definedName name="solver_rhs1" localSheetId="5" hidden="1">'inc pumps by 5 pumps'!$D$7:$D$9</definedName>
    <definedName name="solver_rhs1" localSheetId="3" hidden="1">'Inx X1 Obj by 75'!$D$7:$D$9</definedName>
    <definedName name="solver_rhs1" localSheetId="2" hidden="1">'Original Optimal Soln'!$D$7:$D$9</definedName>
    <definedName name="solver_rhs2" localSheetId="6" hidden="1">'dec Labor by 99 hrs '!$D$7:$D$9</definedName>
    <definedName name="solver_rhs2" localSheetId="4" hidden="1">'dec X2 Obj Coeff by 60'!$D$7:$D$9</definedName>
    <definedName name="solver_rhs2" localSheetId="5" hidden="1">'inc pumps by 5 pumps'!$D$7:$D$9</definedName>
    <definedName name="solver_rhs2" localSheetId="3" hidden="1">'Inx X1 Obj by 75'!$D$7:$D$9</definedName>
    <definedName name="solver_rhs2" localSheetId="2" hidden="1">'Original Optimal Soln'!$D$7:$D$9</definedName>
    <definedName name="solver_rlx" localSheetId="6" hidden="1">2</definedName>
    <definedName name="solver_rlx" localSheetId="4" hidden="1">2</definedName>
    <definedName name="solver_rlx" localSheetId="5" hidden="1">2</definedName>
    <definedName name="solver_rlx" localSheetId="3" hidden="1">2</definedName>
    <definedName name="solver_rlx" localSheetId="2" hidden="1">2</definedName>
    <definedName name="solver_rsd" localSheetId="6" hidden="1">0</definedName>
    <definedName name="solver_rsd" localSheetId="4" hidden="1">0</definedName>
    <definedName name="solver_rsd" localSheetId="5" hidden="1">0</definedName>
    <definedName name="solver_rsd" localSheetId="3" hidden="1">0</definedName>
    <definedName name="solver_rsd" localSheetId="2" hidden="1">0</definedName>
    <definedName name="solver_scl" localSheetId="6" hidden="1">1</definedName>
    <definedName name="solver_scl" localSheetId="4" hidden="1">1</definedName>
    <definedName name="solver_scl" localSheetId="5" hidden="1">1</definedName>
    <definedName name="solver_scl" localSheetId="3" hidden="1">1</definedName>
    <definedName name="solver_scl" localSheetId="2" hidden="1">1</definedName>
    <definedName name="solver_sho" localSheetId="6" hidden="1">2</definedName>
    <definedName name="solver_sho" localSheetId="4" hidden="1">2</definedName>
    <definedName name="solver_sho" localSheetId="5" hidden="1">2</definedName>
    <definedName name="solver_sho" localSheetId="3" hidden="1">2</definedName>
    <definedName name="solver_sho" localSheetId="2" hidden="1">2</definedName>
    <definedName name="solver_ssz" localSheetId="6" hidden="1">100</definedName>
    <definedName name="solver_ssz" localSheetId="4" hidden="1">100</definedName>
    <definedName name="solver_ssz" localSheetId="5" hidden="1">100</definedName>
    <definedName name="solver_ssz" localSheetId="3" hidden="1">100</definedName>
    <definedName name="solver_ssz" localSheetId="2" hidden="1">100</definedName>
    <definedName name="solver_tim" localSheetId="6" hidden="1">2147483647</definedName>
    <definedName name="solver_tim" localSheetId="4" hidden="1">2147483647</definedName>
    <definedName name="solver_tim" localSheetId="5" hidden="1">2147483647</definedName>
    <definedName name="solver_tim" localSheetId="3" hidden="1">2147483647</definedName>
    <definedName name="solver_tim" localSheetId="2" hidden="1">2147483647</definedName>
    <definedName name="solver_tol" localSheetId="6" hidden="1">0.01</definedName>
    <definedName name="solver_tol" localSheetId="4" hidden="1">0.01</definedName>
    <definedName name="solver_tol" localSheetId="5" hidden="1">0.01</definedName>
    <definedName name="solver_tol" localSheetId="3" hidden="1">0.01</definedName>
    <definedName name="solver_tol" localSheetId="2" hidden="1">0.01</definedName>
    <definedName name="solver_typ" localSheetId="6" hidden="1">1</definedName>
    <definedName name="solver_typ" localSheetId="4" hidden="1">1</definedName>
    <definedName name="solver_typ" localSheetId="5" hidden="1">1</definedName>
    <definedName name="solver_typ" localSheetId="3" hidden="1">1</definedName>
    <definedName name="solver_typ" localSheetId="2" hidden="1">1</definedName>
    <definedName name="solver_val" localSheetId="6" hidden="1">0</definedName>
    <definedName name="solver_val" localSheetId="4" hidden="1">0</definedName>
    <definedName name="solver_val" localSheetId="5" hidden="1">0</definedName>
    <definedName name="solver_val" localSheetId="3" hidden="1">0</definedName>
    <definedName name="solver_val" localSheetId="2" hidden="1">0</definedName>
    <definedName name="solver_ver" localSheetId="6" hidden="1">2</definedName>
    <definedName name="solver_ver" localSheetId="4" hidden="1">2</definedName>
    <definedName name="solver_ver" localSheetId="5" hidden="1">2</definedName>
    <definedName name="solver_ver" localSheetId="3" hidden="1">2</definedName>
    <definedName name="solver_ver" localSheetId="2" hidden="1">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9" i="13" l="1"/>
  <c r="B8" i="13"/>
  <c r="B7" i="13"/>
  <c r="B5" i="13"/>
  <c r="B9" i="12"/>
  <c r="B8" i="12"/>
  <c r="B7" i="12"/>
  <c r="B5" i="12"/>
  <c r="B5" i="11"/>
  <c r="B9" i="11"/>
  <c r="B8" i="11"/>
  <c r="B7" i="11"/>
  <c r="B5" i="10"/>
  <c r="B9" i="10"/>
  <c r="B8" i="10"/>
  <c r="B7" i="10"/>
  <c r="B9" i="1"/>
  <c r="B8" i="1"/>
  <c r="B7" i="1"/>
  <c r="B5" i="1"/>
</calcChain>
</file>

<file path=xl/sharedStrings.xml><?xml version="1.0" encoding="utf-8"?>
<sst xmlns="http://schemas.openxmlformats.org/spreadsheetml/2006/main" count="113" uniqueCount="59">
  <si>
    <t>X1</t>
  </si>
  <si>
    <t>X2</t>
  </si>
  <si>
    <t>Initial / Optimal</t>
  </si>
  <si>
    <t>Max Profit</t>
  </si>
  <si>
    <t>Pump</t>
  </si>
  <si>
    <t>Labor</t>
  </si>
  <si>
    <t>Tubing</t>
  </si>
  <si>
    <t>&lt;=</t>
  </si>
  <si>
    <t>Constraints</t>
  </si>
  <si>
    <t>X1: # of Aqua-Spas to produce in the next production cycle</t>
  </si>
  <si>
    <t>X2: # of Hydro-Lux tubs to produce in the next production cycle</t>
  </si>
  <si>
    <t>Decision Variables</t>
  </si>
  <si>
    <t>Objective Function</t>
  </si>
  <si>
    <t>Solver does NOT produce the Sensitivity Report if the decision variables are constrained to be Integers.</t>
  </si>
  <si>
    <t>(350*X1 + 300*X2)</t>
  </si>
  <si>
    <t>Sensitivity Analysis: Problem 1</t>
  </si>
  <si>
    <t>pumps: 1*X1 + 1*X2&lt;=200 pumps</t>
  </si>
  <si>
    <t>max profit = 350*X1 + 300*X2</t>
  </si>
  <si>
    <t>labor: 9*X1 + 6*X2 &lt;=1566hrs</t>
  </si>
  <si>
    <t>Tubing: 12*X1 + 16*X2 &lt;= 2880ft</t>
  </si>
  <si>
    <t>Non-negative: X1,X2 &gt;= 0</t>
  </si>
  <si>
    <t>Microsoft Excel 16.100 Sensitivity Report</t>
  </si>
  <si>
    <t>Worksheet: [Sensitivity Problem 1.xlsx]Original Optimal Soln</t>
  </si>
  <si>
    <t>Report Created: 20/8/25 3:29:39 AM</t>
  </si>
  <si>
    <t>Variable Cells</t>
  </si>
  <si>
    <t>Cell</t>
  </si>
  <si>
    <t>Name</t>
  </si>
  <si>
    <t>Final</t>
  </si>
  <si>
    <t>Value</t>
  </si>
  <si>
    <t>Reduced</t>
  </si>
  <si>
    <t>Cost</t>
  </si>
  <si>
    <t>Objective</t>
  </si>
  <si>
    <t>Coefficient</t>
  </si>
  <si>
    <t>Allowable</t>
  </si>
  <si>
    <t>Increase</t>
  </si>
  <si>
    <t>Decrease</t>
  </si>
  <si>
    <t>Shadow</t>
  </si>
  <si>
    <t>Price</t>
  </si>
  <si>
    <t>Constraint</t>
  </si>
  <si>
    <t>R.H. Side</t>
  </si>
  <si>
    <t>$B$2</t>
  </si>
  <si>
    <t>X1 Initial / Optimal</t>
  </si>
  <si>
    <t>$B$3</t>
  </si>
  <si>
    <t>X2 Initial / Optimal</t>
  </si>
  <si>
    <t>$B$7</t>
  </si>
  <si>
    <t>Pump Initial / Optimal</t>
  </si>
  <si>
    <t>$B$8</t>
  </si>
  <si>
    <t>Labor Initial / Optimal</t>
  </si>
  <si>
    <t>$B$9</t>
  </si>
  <si>
    <t>Tubing Initial / Optimal</t>
  </si>
  <si>
    <t>the optimal values of X1 and X2 will not change as long as the X1 Obj Coeff increases by $100 or decrease by up to $50</t>
  </si>
  <si>
    <t>the optimal values of X1 and X2 will not change as long as the X1 Obj Coeff increases by $100 or decrease by up t0 $66.6666667 approx</t>
  </si>
  <si>
    <t>(425*X1 + 300*X2)</t>
  </si>
  <si>
    <t>(350*X1 + 240*X2)</t>
  </si>
  <si>
    <t>for every 1 pump increase (decrease, the optimaal proft will increase (decrease) by $200. this is true as long as increase by up to 7 pumps and decrease by up to 26 pump</t>
  </si>
  <si>
    <t>for every 1 hr increase (decrease, the optimaal proft will increase (decrease) by $16 approx. this is true as long as increase by up to 234 hrs and decrease by up to 126 hrs</t>
  </si>
  <si>
    <t>for every 1 ft increase (decrease, the optimaal proft will increase (decrease) by $0. this is true as long as increase by up to infinity and decrease by up to 168ft</t>
  </si>
  <si>
    <t>inc pumps by 5</t>
  </si>
  <si>
    <t>dec Labor by 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</si>
</sst>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indexed="1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thin">
        <color indexed="23"/>
      </top>
      <bottom/>
      <diagonal/>
    </border>
    <border>
      <left/>
      <right/>
      <top style="thin">
        <color indexed="23"/>
      </top>
      <bottom style="medium">
        <color indexed="23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3" fillId="0" borderId="0" xfId="0" applyFont="1"/>
    <xf numFmtId="0" fontId="2" fillId="0" borderId="0" xfId="0" applyFont="1"/>
    <xf numFmtId="0" fontId="0" fillId="2" borderId="0" xfId="0" applyFill="1" applyAlignment="1">
      <alignment horizontal="center"/>
    </xf>
    <xf numFmtId="0" fontId="0" fillId="0" borderId="3" xfId="0" applyFill="1" applyBorder="1" applyAlignment="1"/>
    <xf numFmtId="0" fontId="0" fillId="0" borderId="4" xfId="0" applyFill="1" applyBorder="1" applyAlignment="1"/>
    <xf numFmtId="0" fontId="4" fillId="0" borderId="1" xfId="0" applyFont="1" applyFill="1" applyBorder="1" applyAlignment="1">
      <alignment horizontal="center"/>
    </xf>
    <xf numFmtId="0" fontId="4" fillId="0" borderId="2" xfId="0" applyFont="1" applyFill="1" applyBorder="1" applyAlignment="1">
      <alignment horizontal="center"/>
    </xf>
    <xf numFmtId="0" fontId="0" fillId="2" borderId="0" xfId="0" applyFill="1"/>
    <xf numFmtId="0" fontId="0" fillId="3" borderId="3" xfId="0" applyFill="1" applyBorder="1" applyAlignment="1"/>
    <xf numFmtId="0" fontId="0" fillId="3" borderId="4" xfId="0" applyFill="1" applyBorder="1" applyAlignment="1"/>
    <xf numFmtId="0" fontId="0" fillId="0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FF"/>
      <color rgb="FFCC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2599</xdr:rowOff>
    </xdr:from>
    <xdr:to>
      <xdr:col>10</xdr:col>
      <xdr:colOff>155864</xdr:colOff>
      <xdr:row>15</xdr:row>
      <xdr:rowOff>142042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15E0AF5-4EC3-4EA7-B412-0061AC5899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4440"/>
          <a:ext cx="6650182" cy="26852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B58AA-B158-46F4-A175-8809D2057528}">
  <dimension ref="A1:I23"/>
  <sheetViews>
    <sheetView topLeftCell="A7" zoomScale="110" zoomScaleNormal="110" workbookViewId="0">
      <selection activeCell="I23" sqref="I23"/>
    </sheetView>
  </sheetViews>
  <sheetFormatPr baseColWidth="10" defaultColWidth="8.83203125" defaultRowHeight="15" x14ac:dyDescent="0.2"/>
  <sheetData>
    <row r="1" spans="1:1" x14ac:dyDescent="0.2">
      <c r="A1" s="2" t="s">
        <v>15</v>
      </c>
    </row>
    <row r="18" spans="1:9" x14ac:dyDescent="0.2">
      <c r="A18" s="3" t="s">
        <v>11</v>
      </c>
      <c r="I18" s="3" t="s">
        <v>8</v>
      </c>
    </row>
    <row r="19" spans="1:9" x14ac:dyDescent="0.2">
      <c r="A19" t="s">
        <v>9</v>
      </c>
      <c r="I19" t="s">
        <v>16</v>
      </c>
    </row>
    <row r="20" spans="1:9" x14ac:dyDescent="0.2">
      <c r="A20" t="s">
        <v>10</v>
      </c>
      <c r="I20" t="s">
        <v>18</v>
      </c>
    </row>
    <row r="21" spans="1:9" x14ac:dyDescent="0.2">
      <c r="I21" t="s">
        <v>19</v>
      </c>
    </row>
    <row r="22" spans="1:9" x14ac:dyDescent="0.2">
      <c r="A22" s="3" t="s">
        <v>12</v>
      </c>
      <c r="I22" t="s">
        <v>20</v>
      </c>
    </row>
    <row r="23" spans="1:9" x14ac:dyDescent="0.2">
      <c r="A23" t="s">
        <v>17</v>
      </c>
      <c r="I23" s="4" t="s">
        <v>13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8D9E7-2F87-3243-9E7E-3888AD05F7AC}">
  <dimension ref="A1:Q17"/>
  <sheetViews>
    <sheetView showGridLines="0" workbookViewId="0">
      <selection activeCell="I18" sqref="I18"/>
    </sheetView>
  </sheetViews>
  <sheetFormatPr baseColWidth="10" defaultRowHeight="15" x14ac:dyDescent="0.2"/>
  <cols>
    <col min="1" max="1" width="2.33203125" customWidth="1"/>
    <col min="2" max="2" width="5.1640625" bestFit="1" customWidth="1"/>
    <col min="3" max="3" width="18.83203125" bestFit="1" customWidth="1"/>
    <col min="4" max="4" width="5.6640625" bestFit="1" customWidth="1"/>
    <col min="5" max="5" width="12.1640625" bestFit="1" customWidth="1"/>
    <col min="6" max="6" width="9.6640625" bestFit="1" customWidth="1"/>
    <col min="7" max="7" width="9" bestFit="1" customWidth="1"/>
    <col min="8" max="8" width="12.1640625" bestFit="1" customWidth="1"/>
  </cols>
  <sheetData>
    <row r="1" spans="1:17" x14ac:dyDescent="0.2">
      <c r="A1" s="2" t="s">
        <v>21</v>
      </c>
    </row>
    <row r="2" spans="1:17" x14ac:dyDescent="0.2">
      <c r="A2" s="2" t="s">
        <v>22</v>
      </c>
    </row>
    <row r="3" spans="1:17" x14ac:dyDescent="0.2">
      <c r="A3" s="2" t="s">
        <v>23</v>
      </c>
    </row>
    <row r="6" spans="1:17" ht="16" thickBot="1" x14ac:dyDescent="0.25">
      <c r="A6" t="s">
        <v>24</v>
      </c>
    </row>
    <row r="7" spans="1:17" x14ac:dyDescent="0.2">
      <c r="B7" s="8"/>
      <c r="C7" s="8"/>
      <c r="D7" s="8" t="s">
        <v>27</v>
      </c>
      <c r="E7" s="8" t="s">
        <v>29</v>
      </c>
      <c r="F7" s="8" t="s">
        <v>31</v>
      </c>
      <c r="G7" s="8" t="s">
        <v>33</v>
      </c>
      <c r="H7" s="8" t="s">
        <v>33</v>
      </c>
    </row>
    <row r="8" spans="1:17" ht="16" thickBot="1" x14ac:dyDescent="0.25">
      <c r="B8" s="9" t="s">
        <v>25</v>
      </c>
      <c r="C8" s="9" t="s">
        <v>26</v>
      </c>
      <c r="D8" s="9" t="s">
        <v>28</v>
      </c>
      <c r="E8" s="9" t="s">
        <v>30</v>
      </c>
      <c r="F8" s="9" t="s">
        <v>32</v>
      </c>
      <c r="G8" s="9" t="s">
        <v>34</v>
      </c>
      <c r="H8" s="9" t="s">
        <v>35</v>
      </c>
    </row>
    <row r="9" spans="1:17" x14ac:dyDescent="0.2">
      <c r="B9" s="6" t="s">
        <v>40</v>
      </c>
      <c r="C9" s="6" t="s">
        <v>41</v>
      </c>
      <c r="D9" s="6">
        <v>122.00000000000001</v>
      </c>
      <c r="E9" s="6">
        <v>0</v>
      </c>
      <c r="F9" s="6">
        <v>350</v>
      </c>
      <c r="G9" s="6">
        <v>100.00000000000004</v>
      </c>
      <c r="H9" s="6">
        <v>49.999999999999993</v>
      </c>
      <c r="I9" s="10" t="s">
        <v>50</v>
      </c>
      <c r="J9" s="10"/>
      <c r="K9" s="10"/>
      <c r="L9" s="10"/>
      <c r="M9" s="10"/>
      <c r="N9" s="10"/>
      <c r="O9" s="10"/>
      <c r="P9" s="10"/>
      <c r="Q9" s="10"/>
    </row>
    <row r="10" spans="1:17" ht="16" thickBot="1" x14ac:dyDescent="0.25">
      <c r="B10" s="7" t="s">
        <v>42</v>
      </c>
      <c r="C10" s="7" t="s">
        <v>43</v>
      </c>
      <c r="D10" s="7">
        <v>77.999999999999986</v>
      </c>
      <c r="E10" s="7">
        <v>0</v>
      </c>
      <c r="F10" s="7">
        <v>300</v>
      </c>
      <c r="G10" s="7">
        <v>49.999999999999993</v>
      </c>
      <c r="H10" s="7">
        <v>66.666666666666686</v>
      </c>
      <c r="I10" s="10" t="s">
        <v>51</v>
      </c>
      <c r="J10" s="10"/>
      <c r="K10" s="10"/>
      <c r="L10" s="10"/>
      <c r="M10" s="10"/>
      <c r="N10" s="10"/>
      <c r="O10" s="10"/>
      <c r="P10" s="10"/>
      <c r="Q10" s="10"/>
    </row>
    <row r="12" spans="1:17" ht="16" thickBot="1" x14ac:dyDescent="0.25">
      <c r="A12" t="s">
        <v>8</v>
      </c>
    </row>
    <row r="13" spans="1:17" x14ac:dyDescent="0.2">
      <c r="B13" s="8"/>
      <c r="C13" s="8"/>
      <c r="D13" s="8" t="s">
        <v>27</v>
      </c>
      <c r="E13" s="8" t="s">
        <v>36</v>
      </c>
      <c r="F13" s="8" t="s">
        <v>38</v>
      </c>
      <c r="G13" s="8" t="s">
        <v>33</v>
      </c>
      <c r="H13" s="8" t="s">
        <v>33</v>
      </c>
    </row>
    <row r="14" spans="1:17" ht="16" thickBot="1" x14ac:dyDescent="0.25">
      <c r="B14" s="9" t="s">
        <v>25</v>
      </c>
      <c r="C14" s="9" t="s">
        <v>26</v>
      </c>
      <c r="D14" s="9" t="s">
        <v>28</v>
      </c>
      <c r="E14" s="9" t="s">
        <v>37</v>
      </c>
      <c r="F14" s="9" t="s">
        <v>39</v>
      </c>
      <c r="G14" s="9" t="s">
        <v>34</v>
      </c>
      <c r="H14" s="9" t="s">
        <v>35</v>
      </c>
    </row>
    <row r="15" spans="1:17" x14ac:dyDescent="0.2">
      <c r="B15" s="6" t="s">
        <v>44</v>
      </c>
      <c r="C15" s="6" t="s">
        <v>45</v>
      </c>
      <c r="D15" s="6">
        <v>200</v>
      </c>
      <c r="E15" s="11">
        <v>200.00000000000003</v>
      </c>
      <c r="F15" s="6">
        <v>200</v>
      </c>
      <c r="G15" s="11">
        <v>7.0000000000000062</v>
      </c>
      <c r="H15" s="11">
        <v>26</v>
      </c>
      <c r="I15" t="s">
        <v>54</v>
      </c>
    </row>
    <row r="16" spans="1:17" x14ac:dyDescent="0.2">
      <c r="B16" s="6" t="s">
        <v>46</v>
      </c>
      <c r="C16" s="6" t="s">
        <v>47</v>
      </c>
      <c r="D16" s="6">
        <v>1566</v>
      </c>
      <c r="E16" s="11">
        <v>16.666666666666661</v>
      </c>
      <c r="F16" s="6">
        <v>1566</v>
      </c>
      <c r="G16" s="11">
        <v>234</v>
      </c>
      <c r="H16" s="11">
        <v>126.00000000000013</v>
      </c>
      <c r="I16" t="s">
        <v>55</v>
      </c>
    </row>
    <row r="17" spans="2:9" ht="16" thickBot="1" x14ac:dyDescent="0.25">
      <c r="B17" s="7" t="s">
        <v>48</v>
      </c>
      <c r="C17" s="7" t="s">
        <v>49</v>
      </c>
      <c r="D17" s="7">
        <v>2712</v>
      </c>
      <c r="E17" s="12">
        <v>0</v>
      </c>
      <c r="F17" s="7">
        <v>2880</v>
      </c>
      <c r="G17" s="12">
        <v>1E+30</v>
      </c>
      <c r="H17" s="12">
        <v>168.00000000000011</v>
      </c>
      <c r="I17" t="s">
        <v>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2179C-C229-4768-89CA-D70D92DCC39B}">
  <dimension ref="A1:D9"/>
  <sheetViews>
    <sheetView zoomScale="195" zoomScaleNormal="180" workbookViewId="0">
      <selection activeCell="B10" sqref="B10"/>
    </sheetView>
  </sheetViews>
  <sheetFormatPr baseColWidth="10" defaultColWidth="8.83203125" defaultRowHeight="15" x14ac:dyDescent="0.2"/>
  <cols>
    <col min="2" max="2" width="16.6640625" customWidth="1"/>
  </cols>
  <sheetData>
    <row r="1" spans="1:4" x14ac:dyDescent="0.2">
      <c r="B1" s="1" t="s">
        <v>2</v>
      </c>
    </row>
    <row r="2" spans="1:4" x14ac:dyDescent="0.2">
      <c r="A2" t="s">
        <v>0</v>
      </c>
      <c r="B2" s="5">
        <v>122.00000000000001</v>
      </c>
    </row>
    <row r="3" spans="1:4" x14ac:dyDescent="0.2">
      <c r="A3" t="s">
        <v>1</v>
      </c>
      <c r="B3" s="5">
        <v>77.999999999999986</v>
      </c>
    </row>
    <row r="5" spans="1:4" x14ac:dyDescent="0.2">
      <c r="A5" t="s">
        <v>3</v>
      </c>
      <c r="B5" s="1">
        <f>350*B2+300*B3</f>
        <v>66100</v>
      </c>
      <c r="C5" t="s">
        <v>14</v>
      </c>
    </row>
    <row r="7" spans="1:4" x14ac:dyDescent="0.2">
      <c r="A7" t="s">
        <v>4</v>
      </c>
      <c r="B7" s="1">
        <f>1*B2+1*B3</f>
        <v>200</v>
      </c>
      <c r="C7" s="1" t="s">
        <v>7</v>
      </c>
      <c r="D7" s="1">
        <v>200</v>
      </c>
    </row>
    <row r="8" spans="1:4" x14ac:dyDescent="0.2">
      <c r="A8" t="s">
        <v>5</v>
      </c>
      <c r="B8" s="1">
        <f>9*B2+6*B3</f>
        <v>1566</v>
      </c>
      <c r="C8" s="1" t="s">
        <v>7</v>
      </c>
      <c r="D8" s="1">
        <v>1566</v>
      </c>
    </row>
    <row r="9" spans="1:4" x14ac:dyDescent="0.2">
      <c r="A9" t="s">
        <v>6</v>
      </c>
      <c r="B9" s="1">
        <f>12*B2+16*B3</f>
        <v>2712</v>
      </c>
      <c r="C9" s="1" t="s">
        <v>7</v>
      </c>
      <c r="D9" s="1">
        <v>2880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C278E-9CA6-DD43-A990-3B936ED9FD7B}">
  <dimension ref="A1:D9"/>
  <sheetViews>
    <sheetView zoomScale="195" zoomScaleNormal="180" workbookViewId="0">
      <selection activeCell="B6" sqref="B6"/>
    </sheetView>
  </sheetViews>
  <sheetFormatPr baseColWidth="10" defaultColWidth="8.83203125" defaultRowHeight="15" x14ac:dyDescent="0.2"/>
  <cols>
    <col min="2" max="2" width="16.6640625" customWidth="1"/>
  </cols>
  <sheetData>
    <row r="1" spans="1:4" x14ac:dyDescent="0.2">
      <c r="B1" s="1" t="s">
        <v>2</v>
      </c>
    </row>
    <row r="2" spans="1:4" x14ac:dyDescent="0.2">
      <c r="A2" t="s">
        <v>0</v>
      </c>
      <c r="B2" s="5">
        <v>122.00000000000001</v>
      </c>
    </row>
    <row r="3" spans="1:4" x14ac:dyDescent="0.2">
      <c r="A3" t="s">
        <v>1</v>
      </c>
      <c r="B3" s="5">
        <v>77.999999999999986</v>
      </c>
    </row>
    <row r="5" spans="1:4" x14ac:dyDescent="0.2">
      <c r="A5" t="s">
        <v>3</v>
      </c>
      <c r="B5" s="1">
        <f>425*B2+300*B3</f>
        <v>75250</v>
      </c>
      <c r="C5" t="s">
        <v>52</v>
      </c>
    </row>
    <row r="7" spans="1:4" x14ac:dyDescent="0.2">
      <c r="A7" t="s">
        <v>4</v>
      </c>
      <c r="B7" s="1">
        <f>1*B2+1*B3</f>
        <v>200</v>
      </c>
      <c r="C7" s="1" t="s">
        <v>7</v>
      </c>
      <c r="D7" s="1">
        <v>200</v>
      </c>
    </row>
    <row r="8" spans="1:4" x14ac:dyDescent="0.2">
      <c r="A8" t="s">
        <v>5</v>
      </c>
      <c r="B8" s="1">
        <f>9*B2+6*B3</f>
        <v>1566</v>
      </c>
      <c r="C8" s="1" t="s">
        <v>7</v>
      </c>
      <c r="D8" s="1">
        <v>1566</v>
      </c>
    </row>
    <row r="9" spans="1:4" x14ac:dyDescent="0.2">
      <c r="A9" t="s">
        <v>6</v>
      </c>
      <c r="B9" s="1">
        <f>12*B2+16*B3</f>
        <v>2712</v>
      </c>
      <c r="C9" s="1" t="s">
        <v>7</v>
      </c>
      <c r="D9" s="1">
        <v>2880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E9E16-88E7-334D-9720-4CA4F7FA58F2}">
  <dimension ref="A1:D9"/>
  <sheetViews>
    <sheetView zoomScale="195" zoomScaleNormal="180" workbookViewId="0">
      <selection activeCell="B5" sqref="B5"/>
    </sheetView>
  </sheetViews>
  <sheetFormatPr baseColWidth="10" defaultColWidth="8.83203125" defaultRowHeight="15" x14ac:dyDescent="0.2"/>
  <cols>
    <col min="2" max="2" width="16.6640625" customWidth="1"/>
  </cols>
  <sheetData>
    <row r="1" spans="1:4" x14ac:dyDescent="0.2">
      <c r="B1" s="1" t="s">
        <v>2</v>
      </c>
    </row>
    <row r="2" spans="1:4" x14ac:dyDescent="0.2">
      <c r="A2" t="s">
        <v>0</v>
      </c>
      <c r="B2" s="5">
        <v>122.00000000000001</v>
      </c>
    </row>
    <row r="3" spans="1:4" x14ac:dyDescent="0.2">
      <c r="A3" t="s">
        <v>1</v>
      </c>
      <c r="B3" s="5">
        <v>77.999999999999986</v>
      </c>
    </row>
    <row r="5" spans="1:4" x14ac:dyDescent="0.2">
      <c r="A5" t="s">
        <v>3</v>
      </c>
      <c r="B5" s="1">
        <f>350*B2+240*B3</f>
        <v>61420</v>
      </c>
      <c r="C5" t="s">
        <v>53</v>
      </c>
    </row>
    <row r="7" spans="1:4" x14ac:dyDescent="0.2">
      <c r="A7" t="s">
        <v>4</v>
      </c>
      <c r="B7" s="1">
        <f>1*B2+1*B3</f>
        <v>200</v>
      </c>
      <c r="C7" s="1" t="s">
        <v>7</v>
      </c>
      <c r="D7" s="1">
        <v>200</v>
      </c>
    </row>
    <row r="8" spans="1:4" x14ac:dyDescent="0.2">
      <c r="A8" t="s">
        <v>5</v>
      </c>
      <c r="B8" s="1">
        <f>9*B2+6*B3</f>
        <v>1566</v>
      </c>
      <c r="C8" s="1" t="s">
        <v>7</v>
      </c>
      <c r="D8" s="1">
        <v>1566</v>
      </c>
    </row>
    <row r="9" spans="1:4" x14ac:dyDescent="0.2">
      <c r="A9" t="s">
        <v>6</v>
      </c>
      <c r="B9" s="1">
        <f>12*B2+16*B3</f>
        <v>2712</v>
      </c>
      <c r="C9" s="1" t="s">
        <v>7</v>
      </c>
      <c r="D9" s="1">
        <v>2880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4744A-0A5C-064F-8B7E-F480E796B238}">
  <dimension ref="A1:G9"/>
  <sheetViews>
    <sheetView zoomScale="195" zoomScaleNormal="180" workbookViewId="0">
      <selection activeCell="D7" sqref="D7"/>
    </sheetView>
  </sheetViews>
  <sheetFormatPr baseColWidth="10" defaultColWidth="8.83203125" defaultRowHeight="15" x14ac:dyDescent="0.2"/>
  <cols>
    <col min="2" max="2" width="16.6640625" customWidth="1"/>
  </cols>
  <sheetData>
    <row r="1" spans="1:7" x14ac:dyDescent="0.2">
      <c r="B1" s="1" t="s">
        <v>2</v>
      </c>
      <c r="G1" t="s">
        <v>57</v>
      </c>
    </row>
    <row r="2" spans="1:7" x14ac:dyDescent="0.2">
      <c r="A2" t="s">
        <v>0</v>
      </c>
      <c r="B2" s="5">
        <v>112.00000000000001</v>
      </c>
    </row>
    <row r="3" spans="1:7" x14ac:dyDescent="0.2">
      <c r="A3" t="s">
        <v>1</v>
      </c>
      <c r="B3" s="5">
        <v>92.999999999999986</v>
      </c>
    </row>
    <row r="5" spans="1:7" x14ac:dyDescent="0.2">
      <c r="A5" t="s">
        <v>3</v>
      </c>
      <c r="B5" s="1">
        <f>350*B2+300*B3</f>
        <v>67100</v>
      </c>
      <c r="C5" t="s">
        <v>14</v>
      </c>
    </row>
    <row r="7" spans="1:7" x14ac:dyDescent="0.2">
      <c r="A7" t="s">
        <v>4</v>
      </c>
      <c r="B7" s="1">
        <f>1*B2+1*B3</f>
        <v>205</v>
      </c>
      <c r="C7" s="1" t="s">
        <v>7</v>
      </c>
      <c r="D7" s="13">
        <v>205</v>
      </c>
    </row>
    <row r="8" spans="1:7" x14ac:dyDescent="0.2">
      <c r="A8" t="s">
        <v>5</v>
      </c>
      <c r="B8" s="1">
        <f>9*B2+6*B3</f>
        <v>1566</v>
      </c>
      <c r="C8" s="1" t="s">
        <v>7</v>
      </c>
      <c r="D8" s="1">
        <v>1566</v>
      </c>
    </row>
    <row r="9" spans="1:7" x14ac:dyDescent="0.2">
      <c r="A9" t="s">
        <v>6</v>
      </c>
      <c r="B9" s="1">
        <f>12*B2+16*B3</f>
        <v>2832</v>
      </c>
      <c r="C9" s="1" t="s">
        <v>7</v>
      </c>
      <c r="D9" s="1">
        <v>2880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2BAAA-A964-AC43-B1CC-0C3D4700BC2D}">
  <dimension ref="A1:G9"/>
  <sheetViews>
    <sheetView tabSelected="1" zoomScale="195" zoomScaleNormal="180" workbookViewId="0">
      <selection activeCell="D8" sqref="D8"/>
    </sheetView>
  </sheetViews>
  <sheetFormatPr baseColWidth="10" defaultColWidth="8.83203125" defaultRowHeight="15" x14ac:dyDescent="0.2"/>
  <cols>
    <col min="2" max="2" width="16.6640625" customWidth="1"/>
  </cols>
  <sheetData>
    <row r="1" spans="1:7" x14ac:dyDescent="0.2">
      <c r="B1" s="1" t="s">
        <v>2</v>
      </c>
      <c r="G1" t="s">
        <v>58</v>
      </c>
    </row>
    <row r="2" spans="1:7" x14ac:dyDescent="0.2">
      <c r="A2" t="s">
        <v>0</v>
      </c>
      <c r="B2" s="5">
        <v>89.000000000000014</v>
      </c>
    </row>
    <row r="3" spans="1:7" x14ac:dyDescent="0.2">
      <c r="A3" t="s">
        <v>1</v>
      </c>
      <c r="B3" s="5">
        <v>110.99999999999999</v>
      </c>
    </row>
    <row r="5" spans="1:7" x14ac:dyDescent="0.2">
      <c r="A5" t="s">
        <v>3</v>
      </c>
      <c r="B5" s="1">
        <f>350*B2+300*B3</f>
        <v>64450</v>
      </c>
      <c r="C5" t="s">
        <v>14</v>
      </c>
    </row>
    <row r="7" spans="1:7" x14ac:dyDescent="0.2">
      <c r="A7" t="s">
        <v>4</v>
      </c>
      <c r="B7" s="1">
        <f>1*B2+1*B3</f>
        <v>200</v>
      </c>
      <c r="C7" s="1" t="s">
        <v>7</v>
      </c>
      <c r="D7" s="1">
        <v>200</v>
      </c>
    </row>
    <row r="8" spans="1:7" x14ac:dyDescent="0.2">
      <c r="A8" t="s">
        <v>5</v>
      </c>
      <c r="B8" s="1">
        <f>9*B2+6*B3</f>
        <v>1467</v>
      </c>
      <c r="C8" s="1" t="s">
        <v>7</v>
      </c>
      <c r="D8" s="1">
        <v>1467</v>
      </c>
    </row>
    <row r="9" spans="1:7" x14ac:dyDescent="0.2">
      <c r="A9" t="s">
        <v>6</v>
      </c>
      <c r="B9" s="1">
        <f>12*B2+16*B3</f>
        <v>2844</v>
      </c>
      <c r="C9" s="1" t="s">
        <v>7</v>
      </c>
      <c r="D9" s="1">
        <v>2880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Problem 1</vt:lpstr>
      <vt:lpstr>Sensitivity Report 1</vt:lpstr>
      <vt:lpstr>Original Optimal Soln</vt:lpstr>
      <vt:lpstr>Inx X1 Obj by 75</vt:lpstr>
      <vt:lpstr>dec X2 Obj Coeff by 60</vt:lpstr>
      <vt:lpstr>inc pumps by 5 pumps</vt:lpstr>
      <vt:lpstr>dec Labor by 99 hrs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Kishore Pochampally</dc:creator>
  <cp:lastModifiedBy>Rahman, Md Mukidur</cp:lastModifiedBy>
  <dcterms:created xsi:type="dcterms:W3CDTF">2021-11-26T14:40:14Z</dcterms:created>
  <dcterms:modified xsi:type="dcterms:W3CDTF">2025-08-20T08:09:11Z</dcterms:modified>
</cp:coreProperties>
</file>