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SNHU/4th Semester/Management Sci:Spreadsheet/"/>
    </mc:Choice>
  </mc:AlternateContent>
  <xr:revisionPtr revIDLastSave="0" documentId="8_{7CE3636B-EE96-A14C-B32F-450013B08DCF}" xr6:coauthVersionLast="47" xr6:coauthVersionMax="47" xr10:uidLastSave="{00000000-0000-0000-0000-000000000000}"/>
  <bookViews>
    <workbookView xWindow="0" yWindow="0" windowWidth="28800" windowHeight="18000" activeTab="6" xr2:uid="{9619625E-40E8-49E5-AE2D-13C305F88B8B}"/>
  </bookViews>
  <sheets>
    <sheet name="Problem 1" sheetId="1" r:id="rId1"/>
    <sheet name="Problem 2" sheetId="2" r:id="rId2"/>
    <sheet name="Problem 3" sheetId="3" r:id="rId3"/>
    <sheet name="Problem 4" sheetId="4" r:id="rId4"/>
    <sheet name="Problem 5" sheetId="5" r:id="rId5"/>
    <sheet name="Problem 6" sheetId="6" r:id="rId6"/>
    <sheet name="Problem 7" sheetId="7" r:id="rId7"/>
  </sheets>
  <definedNames>
    <definedName name="solver_adj" localSheetId="0" hidden="1">'Problem 1'!$B$4:$B$5</definedName>
    <definedName name="solver_adj" localSheetId="1" hidden="1">'Problem 2'!$B$4:$B$5</definedName>
    <definedName name="solver_adj" localSheetId="2" hidden="1">'Problem 3'!$B$4:$B$6</definedName>
    <definedName name="solver_adj" localSheetId="3" hidden="1">'Problem 4'!$B$4:$B$7</definedName>
    <definedName name="solver_adj" localSheetId="4" hidden="1">'Problem 5'!$B$4:$B$5</definedName>
    <definedName name="solver_adj" localSheetId="5" hidden="1">'Problem 6'!$B$4:$B$7</definedName>
    <definedName name="solver_adj" localSheetId="6" hidden="1">'Problem 7'!$B$4:$B$8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eng" localSheetId="0" hidden="1">2</definedName>
    <definedName name="solver_eng" localSheetId="1" hidden="1">2</definedName>
    <definedName name="solver_eng" localSheetId="2" hidden="1">1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lhs1" localSheetId="0" hidden="1">'Problem 1'!$B$11:$B$14</definedName>
    <definedName name="solver_lhs1" localSheetId="1" hidden="1">'Problem 2'!$B$11:$B$14</definedName>
    <definedName name="solver_lhs1" localSheetId="2" hidden="1">'Problem 3'!$B$12:$B$14</definedName>
    <definedName name="solver_lhs1" localSheetId="3" hidden="1">'Problem 4'!$B$13</definedName>
    <definedName name="solver_lhs1" localSheetId="4" hidden="1">'Problem 5'!$B$11</definedName>
    <definedName name="solver_lhs1" localSheetId="5" hidden="1">'Problem 6'!$B$16:$B$17</definedName>
    <definedName name="solver_lhs1" localSheetId="6" hidden="1">'Problem 7'!$B$17</definedName>
    <definedName name="solver_lhs2" localSheetId="0" hidden="1">'Problem 1'!$B$4:$B$5</definedName>
    <definedName name="solver_lhs2" localSheetId="1" hidden="1">'Problem 2'!$B$4:$B$5</definedName>
    <definedName name="solver_lhs2" localSheetId="2" hidden="1">'Problem 3'!$B$4:$B$6</definedName>
    <definedName name="solver_lhs2" localSheetId="3" hidden="1">'Problem 4'!$B$14</definedName>
    <definedName name="solver_lhs2" localSheetId="4" hidden="1">'Problem 5'!$B$12</definedName>
    <definedName name="solver_lhs2" localSheetId="5" hidden="1">'Problem 6'!$B$18:$B$20</definedName>
    <definedName name="solver_lhs2" localSheetId="6" hidden="1">'Problem 7'!$B$4:$B$8</definedName>
    <definedName name="solver_lhs3" localSheetId="3" hidden="1">'Problem 4'!$B$15</definedName>
    <definedName name="solver_lhs3" localSheetId="4" hidden="1">'Problem 5'!$B$13</definedName>
    <definedName name="solver_lhs3" localSheetId="5" hidden="1">'Problem 6'!$D$8:$I$8</definedName>
    <definedName name="solver_lhs3" localSheetId="6" hidden="1">'Problem 7'!$B$4:$B$8</definedName>
    <definedName name="solver_lhs4" localSheetId="4" hidden="1">'Problem 5'!$B$4:$B$5</definedName>
    <definedName name="solver_lhs4" localSheetId="6" hidden="1">'Problem 7'!$D$9:$G$9</definedName>
    <definedName name="solver_lin" localSheetId="0" hidden="1">1</definedName>
    <definedName name="solver_lin" localSheetId="1" hidden="1">1</definedName>
    <definedName name="solver_lin" localSheetId="2" hidden="1">2</definedName>
    <definedName name="solver_lin" localSheetId="3" hidden="1">1</definedName>
    <definedName name="solver_lin" localSheetId="4" hidden="1">1</definedName>
    <definedName name="solver_lin" localSheetId="5" hidden="1">1</definedName>
    <definedName name="solver_lin" localSheetId="6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3</definedName>
    <definedName name="solver_num" localSheetId="4" hidden="1">4</definedName>
    <definedName name="solver_num" localSheetId="5" hidden="1">3</definedName>
    <definedName name="solver_num" localSheetId="6" hidden="1">4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opt" localSheetId="0" hidden="1">'Problem 1'!$B$8</definedName>
    <definedName name="solver_opt" localSheetId="1" hidden="1">'Problem 2'!$B$8</definedName>
    <definedName name="solver_opt" localSheetId="2" hidden="1">'Problem 3'!$B$9</definedName>
    <definedName name="solver_opt" localSheetId="3" hidden="1">'Problem 4'!$B$10</definedName>
    <definedName name="solver_opt" localSheetId="4" hidden="1">'Problem 5'!$B$8</definedName>
    <definedName name="solver_opt" localSheetId="5" hidden="1">'Problem 6'!$B$13</definedName>
    <definedName name="solver_opt" localSheetId="6" hidden="1">'Problem 7'!$B$14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1" localSheetId="3" hidden="1">2</definedName>
    <definedName name="solver_rel1" localSheetId="4" hidden="1">1</definedName>
    <definedName name="solver_rel1" localSheetId="5" hidden="1">3</definedName>
    <definedName name="solver_rel1" localSheetId="6" hidden="1">3</definedName>
    <definedName name="solver_rel2" localSheetId="0" hidden="1">4</definedName>
    <definedName name="solver_rel2" localSheetId="1" hidden="1">4</definedName>
    <definedName name="solver_rel2" localSheetId="2" hidden="1">4</definedName>
    <definedName name="solver_rel2" localSheetId="3" hidden="1">3</definedName>
    <definedName name="solver_rel2" localSheetId="4" hidden="1">1</definedName>
    <definedName name="solver_rel2" localSheetId="5" hidden="1">1</definedName>
    <definedName name="solver_rel2" localSheetId="6" hidden="1">4</definedName>
    <definedName name="solver_rel3" localSheetId="3" hidden="1">1</definedName>
    <definedName name="solver_rel3" localSheetId="4" hidden="1">1</definedName>
    <definedName name="solver_rel3" localSheetId="5" hidden="1">1</definedName>
    <definedName name="solver_rel3" localSheetId="6" hidden="1">3</definedName>
    <definedName name="solver_rel4" localSheetId="4" hidden="1">4</definedName>
    <definedName name="solver_rel4" localSheetId="6" hidden="1">1</definedName>
    <definedName name="solver_rhs1" localSheetId="0" hidden="1">'Problem 1'!$D$11:$D$14</definedName>
    <definedName name="solver_rhs1" localSheetId="1" hidden="1">'Problem 2'!$D$11:$D$14</definedName>
    <definedName name="solver_rhs1" localSheetId="2" hidden="1">'Problem 3'!$D$12:$D$14</definedName>
    <definedName name="solver_rhs1" localSheetId="3" hidden="1">'Problem 4'!$D$13</definedName>
    <definedName name="solver_rhs1" localSheetId="4" hidden="1">'Problem 5'!$D$11</definedName>
    <definedName name="solver_rhs1" localSheetId="5" hidden="1">'Problem 6'!$D$16:$D$17</definedName>
    <definedName name="solver_rhs1" localSheetId="6" hidden="1">'Problem 7'!$D$17</definedName>
    <definedName name="solver_rhs2" localSheetId="0" hidden="1">"integer"</definedName>
    <definedName name="solver_rhs2" localSheetId="1" hidden="1">"integer"</definedName>
    <definedName name="solver_rhs2" localSheetId="2" hidden="1">"integer"</definedName>
    <definedName name="solver_rhs2" localSheetId="3" hidden="1">'Problem 4'!$D$14</definedName>
    <definedName name="solver_rhs2" localSheetId="4" hidden="1">'Problem 5'!$D$12</definedName>
    <definedName name="solver_rhs2" localSheetId="5" hidden="1">'Problem 6'!$D$18:$D$20</definedName>
    <definedName name="solver_rhs2" localSheetId="6" hidden="1">"integer"</definedName>
    <definedName name="solver_rhs3" localSheetId="3" hidden="1">'Problem 4'!$D$15</definedName>
    <definedName name="solver_rhs3" localSheetId="4" hidden="1">'Problem 5'!$D$13</definedName>
    <definedName name="solver_rhs3" localSheetId="5" hidden="1">'Problem 6'!$D$10:$I$10</definedName>
    <definedName name="solver_rhs3" localSheetId="6" hidden="1">500</definedName>
    <definedName name="solver_rhs4" localSheetId="4" hidden="1">"integer"</definedName>
    <definedName name="solver_rhs4" localSheetId="6" hidden="1">'Problem 7'!$D$11:$G$11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er" localSheetId="0" hidden="1">2</definedName>
    <definedName name="solver_ver" localSheetId="1" hidden="1">2</definedName>
    <definedName name="solver_ver" localSheetId="2" hidden="1">2</definedName>
    <definedName name="solver_ver" localSheetId="3" hidden="1">2</definedName>
    <definedName name="solver_ver" localSheetId="4" hidden="1">2</definedName>
    <definedName name="solver_ver" localSheetId="5" hidden="1">2</definedName>
    <definedName name="solver_ver" localSheetId="6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7" l="1"/>
  <c r="F9" i="7"/>
  <c r="E9" i="7"/>
  <c r="D9" i="7"/>
  <c r="B13" i="6"/>
  <c r="B14" i="7"/>
  <c r="D17" i="7"/>
  <c r="B17" i="7"/>
  <c r="I8" i="6"/>
  <c r="F8" i="6"/>
  <c r="E8" i="6"/>
  <c r="G8" i="6"/>
  <c r="H8" i="6"/>
  <c r="D8" i="6"/>
  <c r="B20" i="6"/>
  <c r="B19" i="6"/>
  <c r="B18" i="6"/>
  <c r="B17" i="6"/>
  <c r="B16" i="6"/>
  <c r="B13" i="5"/>
  <c r="B12" i="5"/>
  <c r="B11" i="5"/>
  <c r="B8" i="5"/>
  <c r="B15" i="4"/>
  <c r="B14" i="4"/>
  <c r="B13" i="4"/>
  <c r="B10" i="4"/>
  <c r="B13" i="3"/>
  <c r="B14" i="3"/>
  <c r="B12" i="3"/>
  <c r="B9" i="3"/>
  <c r="B14" i="2"/>
  <c r="B13" i="2"/>
  <c r="B12" i="2"/>
  <c r="B11" i="2"/>
  <c r="B8" i="1"/>
  <c r="B8" i="2"/>
  <c r="B12" i="1"/>
  <c r="B11" i="1"/>
  <c r="B14" i="1"/>
  <c r="B13" i="1"/>
</calcChain>
</file>

<file path=xl/sharedStrings.xml><?xml version="1.0" encoding="utf-8"?>
<sst xmlns="http://schemas.openxmlformats.org/spreadsheetml/2006/main" count="149" uniqueCount="75">
  <si>
    <t>Problem 1</t>
  </si>
  <si>
    <t>P</t>
  </si>
  <si>
    <t>E</t>
  </si>
  <si>
    <t>Initial / Optimal</t>
  </si>
  <si>
    <t>Max</t>
  </si>
  <si>
    <t>Constraints</t>
  </si>
  <si>
    <t>Decision Variables</t>
  </si>
  <si>
    <t>Objective Function</t>
  </si>
  <si>
    <t>M. Press</t>
  </si>
  <si>
    <t>Assembly</t>
  </si>
  <si>
    <t>Fabrication</t>
  </si>
  <si>
    <t>Testing</t>
  </si>
  <si>
    <t>&lt;=</t>
  </si>
  <si>
    <t>Problem 2</t>
  </si>
  <si>
    <t>S</t>
  </si>
  <si>
    <t>B</t>
  </si>
  <si>
    <t>Problem 3</t>
  </si>
  <si>
    <t>C</t>
  </si>
  <si>
    <t>D</t>
  </si>
  <si>
    <t>Cutting</t>
  </si>
  <si>
    <t>Sewing</t>
  </si>
  <si>
    <t>Material</t>
  </si>
  <si>
    <t>Problem 4</t>
  </si>
  <si>
    <t>R</t>
  </si>
  <si>
    <t>G</t>
  </si>
  <si>
    <t>Exp Interest</t>
  </si>
  <si>
    <t>Inv Amt</t>
  </si>
  <si>
    <t>B &amp; S</t>
  </si>
  <si>
    <t>Problem 5</t>
  </si>
  <si>
    <t>Problem 6</t>
  </si>
  <si>
    <t>W</t>
  </si>
  <si>
    <t>N</t>
  </si>
  <si>
    <t>Unit Profit ($)</t>
  </si>
  <si>
    <t>Chocolate</t>
  </si>
  <si>
    <t>Hull</t>
  </si>
  <si>
    <t>Roast</t>
  </si>
  <si>
    <t>Coat</t>
  </si>
  <si>
    <t>Pack</t>
  </si>
  <si>
    <t>Used --&gt;</t>
  </si>
  <si>
    <t>Available --&gt;</t>
  </si>
  <si>
    <t>Constraint 5</t>
  </si>
  <si>
    <t>Constraint 6</t>
  </si>
  <si>
    <t>Constraint 7</t>
  </si>
  <si>
    <t>Constraint 8</t>
  </si>
  <si>
    <t>Constraint 9</t>
  </si>
  <si>
    <t>Constraint 10</t>
  </si>
  <si>
    <t>Problem 7</t>
  </si>
  <si>
    <t>H</t>
  </si>
  <si>
    <t>F</t>
  </si>
  <si>
    <t>M</t>
  </si>
  <si>
    <t>PC board</t>
  </si>
  <si>
    <t>Resistors</t>
  </si>
  <si>
    <t>Memory chips</t>
  </si>
  <si>
    <t>Labor hrs</t>
  </si>
  <si>
    <t>Leather</t>
  </si>
  <si>
    <t>Nylon</t>
  </si>
  <si>
    <t>Core</t>
  </si>
  <si>
    <t>Labor</t>
  </si>
  <si>
    <t>Gate Time</t>
  </si>
  <si>
    <t>Pilot Time</t>
  </si>
  <si>
    <t>Rome flights</t>
  </si>
  <si>
    <t>Nuts</t>
  </si>
  <si>
    <t>=</t>
  </si>
  <si>
    <t>&gt;=</t>
  </si>
  <si>
    <t>:(1)</t>
  </si>
  <si>
    <t>:(2.2)</t>
  </si>
  <si>
    <t>:(2.1)</t>
  </si>
  <si>
    <t>:(3)</t>
  </si>
  <si>
    <t>:(4)</t>
  </si>
  <si>
    <t>:c1</t>
  </si>
  <si>
    <t>:c2</t>
  </si>
  <si>
    <t>:c3</t>
  </si>
  <si>
    <t>:c4</t>
  </si>
  <si>
    <t>:c5</t>
  </si>
  <si>
    <t xml:space="preserve">&gt;=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</si>
</sst>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16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459154</xdr:colOff>
      <xdr:row>2</xdr:row>
      <xdr:rowOff>97692</xdr:rowOff>
    </xdr:from>
    <xdr:to>
      <xdr:col>13</xdr:col>
      <xdr:colOff>425939</xdr:colOff>
      <xdr:row>26</xdr:row>
      <xdr:rowOff>94761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F66E92-F47F-CF74-5CB6-EE9B0CA4C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6385" y="488461"/>
          <a:ext cx="5359400" cy="4686300"/>
        </a:xfrm>
        <a:prstGeom prst="rect">
          <a:avLst/>
        </a:prstGeom>
      </xdr:spPr>
    </xdr:pic>
    <xdr:clientData/>
  </xdr:twoCellAnchor>
  <xdr:oneCellAnchor>
    <xdr:from>
      <xdr:col>8</xdr:col>
      <xdr:colOff>485530</xdr:colOff>
      <xdr:row>13</xdr:row>
      <xdr:rowOff>182684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8B49BFB-B1CE-61EB-23D1-53FB5FA3BBA7}"/>
            </a:ext>
          </a:extLst>
        </xdr:cNvPr>
        <xdr:cNvSpPr txBox="1"/>
      </xdr:nvSpPr>
      <xdr:spPr>
        <a:xfrm>
          <a:off x="6434992" y="272268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485530</xdr:colOff>
      <xdr:row>13</xdr:row>
      <xdr:rowOff>182684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BE5E2B-40F8-A5A2-60D7-AFD4DF8AC6E1}"/>
            </a:ext>
          </a:extLst>
        </xdr:cNvPr>
        <xdr:cNvSpPr txBox="1"/>
      </xdr:nvSpPr>
      <xdr:spPr>
        <a:xfrm>
          <a:off x="6434992" y="272268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299357</xdr:colOff>
      <xdr:row>2</xdr:row>
      <xdr:rowOff>81643</xdr:rowOff>
    </xdr:from>
    <xdr:to>
      <xdr:col>14</xdr:col>
      <xdr:colOff>288471</xdr:colOff>
      <xdr:row>27</xdr:row>
      <xdr:rowOff>5443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03B7D9-D596-4AA3-B9EB-28F5630F6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7928" y="462643"/>
          <a:ext cx="5359400" cy="4686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9071</xdr:colOff>
      <xdr:row>2</xdr:row>
      <xdr:rowOff>28880</xdr:rowOff>
    </xdr:from>
    <xdr:to>
      <xdr:col>13</xdr:col>
      <xdr:colOff>232228</xdr:colOff>
      <xdr:row>22</xdr:row>
      <xdr:rowOff>105230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CD5CC8-AB3B-9196-DF1E-3F73DC547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5071" y="409880"/>
          <a:ext cx="4922157" cy="3886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93211</xdr:colOff>
      <xdr:row>2</xdr:row>
      <xdr:rowOff>154215</xdr:rowOff>
    </xdr:from>
    <xdr:to>
      <xdr:col>12</xdr:col>
      <xdr:colOff>615042</xdr:colOff>
      <xdr:row>19</xdr:row>
      <xdr:rowOff>145377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3F662D-F9CB-D5FF-F959-4D1B584DA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5711" y="535215"/>
          <a:ext cx="5220831" cy="32296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488461</xdr:colOff>
      <xdr:row>2</xdr:row>
      <xdr:rowOff>177798</xdr:rowOff>
    </xdr:from>
    <xdr:to>
      <xdr:col>13</xdr:col>
      <xdr:colOff>547077</xdr:colOff>
      <xdr:row>25</xdr:row>
      <xdr:rowOff>44937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B197D-7C26-92F9-3375-28B2A1DC8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3384" y="568567"/>
          <a:ext cx="5451231" cy="43609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449382</xdr:colOff>
      <xdr:row>15</xdr:row>
      <xdr:rowOff>159482</xdr:rowOff>
    </xdr:from>
    <xdr:to>
      <xdr:col>10</xdr:col>
      <xdr:colOff>361459</xdr:colOff>
      <xdr:row>29</xdr:row>
      <xdr:rowOff>167811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24315B-4B73-1A07-6B2C-CFD9A704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767" y="3090251"/>
          <a:ext cx="4611077" cy="2743714"/>
        </a:xfrm>
        <a:prstGeom prst="rect">
          <a:avLst/>
        </a:prstGeom>
      </xdr:spPr>
    </xdr:pic>
    <xdr:clientData/>
  </xdr:twoCellAnchor>
  <xdr:twoCellAnchor editAs="oneCell">
    <xdr:from>
      <xdr:col>9</xdr:col>
      <xdr:colOff>517684</xdr:colOff>
      <xdr:row>1</xdr:row>
      <xdr:rowOff>29307</xdr:rowOff>
    </xdr:from>
    <xdr:to>
      <xdr:col>17</xdr:col>
      <xdr:colOff>321409</xdr:colOff>
      <xdr:row>16</xdr:row>
      <xdr:rowOff>190499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02A6E0-5090-993E-844E-444F81A5C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2992" y="224692"/>
          <a:ext cx="5196340" cy="3091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097A-BF3F-4CD8-8584-441CEC0179C2}">
  <dimension ref="A1:D14"/>
  <sheetViews>
    <sheetView zoomScale="130" zoomScaleNormal="130" workbookViewId="0">
      <selection activeCell="B15" sqref="B15"/>
    </sheetView>
  </sheetViews>
  <sheetFormatPr baseColWidth="10" defaultColWidth="8.83203125" defaultRowHeight="15" x14ac:dyDescent="0.2"/>
  <cols>
    <col min="1" max="1" width="11.6640625" customWidth="1"/>
    <col min="2" max="2" width="13.33203125" bestFit="1" customWidth="1"/>
  </cols>
  <sheetData>
    <row r="1" spans="1:4" x14ac:dyDescent="0.2">
      <c r="A1" s="1" t="s">
        <v>0</v>
      </c>
    </row>
    <row r="2" spans="1:4" x14ac:dyDescent="0.2">
      <c r="A2" s="4" t="s">
        <v>6</v>
      </c>
    </row>
    <row r="3" spans="1:4" x14ac:dyDescent="0.2">
      <c r="B3" s="2" t="s">
        <v>3</v>
      </c>
    </row>
    <row r="4" spans="1:4" x14ac:dyDescent="0.2">
      <c r="A4" t="s">
        <v>1</v>
      </c>
      <c r="B4" s="3">
        <v>1000</v>
      </c>
    </row>
    <row r="5" spans="1:4" x14ac:dyDescent="0.2">
      <c r="A5" t="s">
        <v>2</v>
      </c>
      <c r="B5" s="3">
        <v>400</v>
      </c>
    </row>
    <row r="7" spans="1:4" x14ac:dyDescent="0.2">
      <c r="A7" s="4" t="s">
        <v>7</v>
      </c>
    </row>
    <row r="8" spans="1:4" x14ac:dyDescent="0.2">
      <c r="A8" t="s">
        <v>4</v>
      </c>
      <c r="B8" s="2">
        <f>100*B4+80*B5</f>
        <v>132000</v>
      </c>
    </row>
    <row r="10" spans="1:4" x14ac:dyDescent="0.2">
      <c r="A10" s="4" t="s">
        <v>5</v>
      </c>
    </row>
    <row r="11" spans="1:4" x14ac:dyDescent="0.2">
      <c r="A11" t="s">
        <v>8</v>
      </c>
      <c r="B11" s="2">
        <f>2*B4+1*B5</f>
        <v>2400</v>
      </c>
      <c r="C11" s="2" t="s">
        <v>12</v>
      </c>
      <c r="D11" s="2">
        <v>2400</v>
      </c>
    </row>
    <row r="12" spans="1:4" x14ac:dyDescent="0.2">
      <c r="A12" t="s">
        <v>10</v>
      </c>
      <c r="B12" s="2">
        <f>4*B4+5*B5</f>
        <v>6000</v>
      </c>
      <c r="C12" s="2" t="s">
        <v>12</v>
      </c>
      <c r="D12" s="2">
        <v>6000</v>
      </c>
    </row>
    <row r="13" spans="1:4" x14ac:dyDescent="0.2">
      <c r="A13" t="s">
        <v>9</v>
      </c>
      <c r="B13" s="2">
        <f>2*B4+3*B5</f>
        <v>3200</v>
      </c>
      <c r="C13" s="2" t="s">
        <v>12</v>
      </c>
      <c r="D13" s="2">
        <v>3300</v>
      </c>
    </row>
    <row r="14" spans="1:4" x14ac:dyDescent="0.2">
      <c r="A14" t="s">
        <v>11</v>
      </c>
      <c r="B14" s="2">
        <f>1*B4+1*B5</f>
        <v>1400</v>
      </c>
      <c r="C14" s="2" t="s">
        <v>12</v>
      </c>
      <c r="D14" s="2">
        <v>1500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9ACF-F04D-422C-833F-3B280212E469}">
  <dimension ref="A1:D14"/>
  <sheetViews>
    <sheetView zoomScale="140" zoomScaleNormal="140" workbookViewId="0">
      <selection activeCell="B15" sqref="B15"/>
    </sheetView>
  </sheetViews>
  <sheetFormatPr baseColWidth="10" defaultColWidth="8.83203125" defaultRowHeight="15" x14ac:dyDescent="0.2"/>
  <cols>
    <col min="1" max="1" width="15.6640625" bestFit="1" customWidth="1"/>
    <col min="2" max="2" width="13.33203125" bestFit="1" customWidth="1"/>
  </cols>
  <sheetData>
    <row r="1" spans="1:4" x14ac:dyDescent="0.2">
      <c r="A1" s="1" t="s">
        <v>13</v>
      </c>
    </row>
    <row r="2" spans="1:4" x14ac:dyDescent="0.2">
      <c r="A2" s="4" t="s">
        <v>6</v>
      </c>
    </row>
    <row r="3" spans="1:4" x14ac:dyDescent="0.2">
      <c r="B3" s="2" t="s">
        <v>3</v>
      </c>
    </row>
    <row r="4" spans="1:4" x14ac:dyDescent="0.2">
      <c r="A4" t="s">
        <v>14</v>
      </c>
      <c r="B4" s="3">
        <v>400</v>
      </c>
    </row>
    <row r="5" spans="1:4" x14ac:dyDescent="0.2">
      <c r="A5" t="s">
        <v>15</v>
      </c>
      <c r="B5" s="3">
        <v>1000</v>
      </c>
    </row>
    <row r="7" spans="1:4" x14ac:dyDescent="0.2">
      <c r="A7" s="4" t="s">
        <v>7</v>
      </c>
    </row>
    <row r="8" spans="1:4" x14ac:dyDescent="0.2">
      <c r="A8" t="s">
        <v>4</v>
      </c>
      <c r="B8" s="2">
        <f>6*B4+4.5*B5</f>
        <v>6900</v>
      </c>
    </row>
    <row r="10" spans="1:4" x14ac:dyDescent="0.2">
      <c r="A10" s="4" t="s">
        <v>5</v>
      </c>
    </row>
    <row r="11" spans="1:4" x14ac:dyDescent="0.2">
      <c r="A11" t="s">
        <v>54</v>
      </c>
      <c r="B11" s="2">
        <f>5*B4+4*B5</f>
        <v>6000</v>
      </c>
      <c r="C11" s="2" t="s">
        <v>12</v>
      </c>
      <c r="D11" s="2">
        <v>6000</v>
      </c>
    </row>
    <row r="12" spans="1:4" x14ac:dyDescent="0.2">
      <c r="A12" t="s">
        <v>55</v>
      </c>
      <c r="B12" s="2">
        <f>6*B4+3*B5</f>
        <v>5400</v>
      </c>
      <c r="C12" s="2" t="s">
        <v>12</v>
      </c>
      <c r="D12" s="2">
        <v>5400</v>
      </c>
    </row>
    <row r="13" spans="1:4" x14ac:dyDescent="0.2">
      <c r="A13" t="s">
        <v>56</v>
      </c>
      <c r="B13" s="2">
        <f>4*B4+2*B5</f>
        <v>3600</v>
      </c>
      <c r="C13" s="2" t="s">
        <v>12</v>
      </c>
      <c r="D13" s="2">
        <v>4000</v>
      </c>
    </row>
    <row r="14" spans="1:4" x14ac:dyDescent="0.2">
      <c r="A14" t="s">
        <v>57</v>
      </c>
      <c r="B14" s="2">
        <f>2.5*B4+2*B5</f>
        <v>3000</v>
      </c>
      <c r="C14" s="2" t="s">
        <v>12</v>
      </c>
      <c r="D14" s="2">
        <v>3500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F91E-EAD6-44AF-AE4A-1D378553023A}">
  <dimension ref="A1:D15"/>
  <sheetViews>
    <sheetView zoomScale="140" zoomScaleNormal="140" workbookViewId="0">
      <selection activeCell="D7" sqref="D7"/>
    </sheetView>
  </sheetViews>
  <sheetFormatPr baseColWidth="10" defaultColWidth="8.83203125" defaultRowHeight="15" x14ac:dyDescent="0.2"/>
  <cols>
    <col min="2" max="2" width="19.33203125" customWidth="1"/>
  </cols>
  <sheetData>
    <row r="1" spans="1:4" x14ac:dyDescent="0.2">
      <c r="A1" s="1" t="s">
        <v>16</v>
      </c>
    </row>
    <row r="2" spans="1:4" x14ac:dyDescent="0.2">
      <c r="A2" s="4" t="s">
        <v>6</v>
      </c>
    </row>
    <row r="3" spans="1:4" x14ac:dyDescent="0.2">
      <c r="B3" s="2" t="s">
        <v>3</v>
      </c>
    </row>
    <row r="4" spans="1:4" x14ac:dyDescent="0.2">
      <c r="A4" t="s">
        <v>14</v>
      </c>
      <c r="B4" s="3">
        <v>0</v>
      </c>
    </row>
    <row r="5" spans="1:4" x14ac:dyDescent="0.2">
      <c r="A5" t="s">
        <v>18</v>
      </c>
      <c r="B5" s="3">
        <v>20</v>
      </c>
    </row>
    <row r="6" spans="1:4" x14ac:dyDescent="0.2">
      <c r="A6" t="s">
        <v>17</v>
      </c>
      <c r="B6" s="3">
        <v>10</v>
      </c>
    </row>
    <row r="8" spans="1:4" x14ac:dyDescent="0.2">
      <c r="A8" s="4" t="s">
        <v>7</v>
      </c>
    </row>
    <row r="9" spans="1:4" x14ac:dyDescent="0.2">
      <c r="A9" t="s">
        <v>4</v>
      </c>
      <c r="B9" s="2">
        <f>5*B4+17*B5+30*B6</f>
        <v>640</v>
      </c>
    </row>
    <row r="11" spans="1:4" x14ac:dyDescent="0.2">
      <c r="A11" s="4" t="s">
        <v>5</v>
      </c>
    </row>
    <row r="12" spans="1:4" x14ac:dyDescent="0.2">
      <c r="A12" t="s">
        <v>19</v>
      </c>
      <c r="B12" s="2">
        <f>1*B4+3*B5+4*B6</f>
        <v>100</v>
      </c>
      <c r="C12" s="2" t="s">
        <v>12</v>
      </c>
      <c r="D12" s="2">
        <v>100</v>
      </c>
    </row>
    <row r="13" spans="1:4" x14ac:dyDescent="0.2">
      <c r="A13" t="s">
        <v>20</v>
      </c>
      <c r="B13" s="2">
        <f>1*B4+4*B5+6*B6</f>
        <v>140</v>
      </c>
      <c r="C13" s="2" t="s">
        <v>12</v>
      </c>
      <c r="D13" s="2">
        <v>180</v>
      </c>
    </row>
    <row r="14" spans="1:4" x14ac:dyDescent="0.2">
      <c r="A14" t="s">
        <v>21</v>
      </c>
      <c r="B14" s="2">
        <f>1*B4+1*B5+4*B6</f>
        <v>60</v>
      </c>
      <c r="C14" s="2" t="s">
        <v>12</v>
      </c>
      <c r="D14" s="2">
        <v>60</v>
      </c>
    </row>
    <row r="15" spans="1:4" x14ac:dyDescent="0.2">
      <c r="B15" s="2"/>
      <c r="C15" s="2"/>
      <c r="D15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ABB4F-798C-466F-BDE1-5C84748546F7}">
  <dimension ref="A1:D15"/>
  <sheetViews>
    <sheetView zoomScale="140" zoomScaleNormal="140" workbookViewId="0">
      <selection activeCell="C4" sqref="C4"/>
    </sheetView>
  </sheetViews>
  <sheetFormatPr baseColWidth="10" defaultColWidth="8.83203125" defaultRowHeight="15" x14ac:dyDescent="0.2"/>
  <cols>
    <col min="2" max="2" width="26" customWidth="1"/>
    <col min="3" max="3" width="10.1640625" bestFit="1" customWidth="1"/>
  </cols>
  <sheetData>
    <row r="1" spans="1:4" x14ac:dyDescent="0.2">
      <c r="A1" s="1" t="s">
        <v>22</v>
      </c>
    </row>
    <row r="2" spans="1:4" x14ac:dyDescent="0.2">
      <c r="A2" s="4" t="s">
        <v>6</v>
      </c>
    </row>
    <row r="3" spans="1:4" x14ac:dyDescent="0.2">
      <c r="B3" s="2" t="s">
        <v>3</v>
      </c>
      <c r="C3" s="2" t="s">
        <v>25</v>
      </c>
    </row>
    <row r="4" spans="1:4" x14ac:dyDescent="0.2">
      <c r="A4" t="s">
        <v>15</v>
      </c>
      <c r="B4" s="3">
        <v>0</v>
      </c>
      <c r="C4" s="2">
        <v>8.5000000000000006E-2</v>
      </c>
    </row>
    <row r="5" spans="1:4" x14ac:dyDescent="0.2">
      <c r="A5" t="s">
        <v>14</v>
      </c>
      <c r="B5" s="3">
        <v>2000000</v>
      </c>
      <c r="C5" s="2">
        <v>0.09</v>
      </c>
    </row>
    <row r="6" spans="1:4" x14ac:dyDescent="0.2">
      <c r="A6" t="s">
        <v>24</v>
      </c>
      <c r="B6" s="3">
        <v>2000000</v>
      </c>
      <c r="C6" s="2">
        <v>0.1</v>
      </c>
    </row>
    <row r="7" spans="1:4" x14ac:dyDescent="0.2">
      <c r="A7" t="s">
        <v>23</v>
      </c>
      <c r="B7" s="3">
        <v>1000000</v>
      </c>
      <c r="C7" s="2">
        <v>0.13</v>
      </c>
    </row>
    <row r="9" spans="1:4" x14ac:dyDescent="0.2">
      <c r="A9" s="4" t="s">
        <v>7</v>
      </c>
    </row>
    <row r="10" spans="1:4" x14ac:dyDescent="0.2">
      <c r="A10" t="s">
        <v>4</v>
      </c>
      <c r="B10" s="2">
        <f>SUMPRODUCT(C4:C7,B4:B7)</f>
        <v>510000</v>
      </c>
    </row>
    <row r="12" spans="1:4" x14ac:dyDescent="0.2">
      <c r="A12" s="4" t="s">
        <v>5</v>
      </c>
    </row>
    <row r="13" spans="1:4" x14ac:dyDescent="0.2">
      <c r="A13" t="s">
        <v>26</v>
      </c>
      <c r="B13" s="2">
        <f>SUM(B4:B7)</f>
        <v>5000000</v>
      </c>
      <c r="C13" s="2" t="s">
        <v>62</v>
      </c>
      <c r="D13" s="2">
        <v>5000000</v>
      </c>
    </row>
    <row r="14" spans="1:4" x14ac:dyDescent="0.2">
      <c r="A14" t="s">
        <v>27</v>
      </c>
      <c r="B14" s="2">
        <f>B4+B5</f>
        <v>2000000</v>
      </c>
      <c r="C14" s="2" t="s">
        <v>63</v>
      </c>
      <c r="D14" s="2">
        <v>2000000</v>
      </c>
    </row>
    <row r="15" spans="1:4" x14ac:dyDescent="0.2">
      <c r="A15" t="s">
        <v>23</v>
      </c>
      <c r="B15" s="2">
        <f>B7</f>
        <v>1000000</v>
      </c>
      <c r="C15" s="2" t="s">
        <v>12</v>
      </c>
      <c r="D15" s="2">
        <v>1000000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E19F-F244-44F2-B0BD-CAA2CE39B91F}">
  <dimension ref="A1:D14"/>
  <sheetViews>
    <sheetView zoomScale="130" zoomScaleNormal="130" workbookViewId="0">
      <selection activeCell="C16" sqref="C16"/>
    </sheetView>
  </sheetViews>
  <sheetFormatPr baseColWidth="10" defaultColWidth="8.83203125" defaultRowHeight="15" x14ac:dyDescent="0.2"/>
  <cols>
    <col min="1" max="1" width="13" customWidth="1"/>
    <col min="2" max="2" width="13.33203125" bestFit="1" customWidth="1"/>
  </cols>
  <sheetData>
    <row r="1" spans="1:4" x14ac:dyDescent="0.2">
      <c r="A1" s="1" t="s">
        <v>28</v>
      </c>
    </row>
    <row r="2" spans="1:4" x14ac:dyDescent="0.2">
      <c r="A2" s="4" t="s">
        <v>6</v>
      </c>
    </row>
    <row r="3" spans="1:4" x14ac:dyDescent="0.2">
      <c r="B3" s="2" t="s">
        <v>3</v>
      </c>
    </row>
    <row r="4" spans="1:4" x14ac:dyDescent="0.2">
      <c r="A4" t="s">
        <v>23</v>
      </c>
      <c r="B4" s="3">
        <v>6</v>
      </c>
    </row>
    <row r="5" spans="1:4" x14ac:dyDescent="0.2">
      <c r="A5" t="s">
        <v>14</v>
      </c>
      <c r="B5" s="3">
        <v>6</v>
      </c>
    </row>
    <row r="7" spans="1:4" x14ac:dyDescent="0.2">
      <c r="A7" s="4" t="s">
        <v>7</v>
      </c>
    </row>
    <row r="8" spans="1:4" x14ac:dyDescent="0.2">
      <c r="A8" t="s">
        <v>4</v>
      </c>
      <c r="B8" s="2">
        <f>2500*B4+2000*B5</f>
        <v>27000</v>
      </c>
    </row>
    <row r="10" spans="1:4" x14ac:dyDescent="0.2">
      <c r="A10" s="4" t="s">
        <v>5</v>
      </c>
    </row>
    <row r="11" spans="1:4" x14ac:dyDescent="0.2">
      <c r="A11" t="s">
        <v>58</v>
      </c>
      <c r="B11" s="2">
        <f>1*B4+1*B5</f>
        <v>12</v>
      </c>
      <c r="C11" s="2" t="s">
        <v>12</v>
      </c>
      <c r="D11" s="2">
        <v>12</v>
      </c>
    </row>
    <row r="12" spans="1:4" x14ac:dyDescent="0.2">
      <c r="A12" t="s">
        <v>59</v>
      </c>
      <c r="B12" s="2">
        <f>15*B4+10*B5</f>
        <v>150</v>
      </c>
      <c r="C12" s="2" t="s">
        <v>12</v>
      </c>
      <c r="D12" s="2">
        <v>150</v>
      </c>
    </row>
    <row r="13" spans="1:4" x14ac:dyDescent="0.2">
      <c r="A13" t="s">
        <v>60</v>
      </c>
      <c r="B13" s="2">
        <f>B4</f>
        <v>6</v>
      </c>
      <c r="C13" s="2" t="s">
        <v>12</v>
      </c>
      <c r="D13" s="2">
        <v>9</v>
      </c>
    </row>
    <row r="14" spans="1:4" x14ac:dyDescent="0.2">
      <c r="B14" s="2"/>
      <c r="C14" s="2"/>
      <c r="D14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286F-FE11-4B48-91AE-00EB2DF11CB1}">
  <dimension ref="A1:I27"/>
  <sheetViews>
    <sheetView zoomScale="130" zoomScaleNormal="130" workbookViewId="0">
      <selection activeCell="B7" sqref="B7"/>
    </sheetView>
  </sheetViews>
  <sheetFormatPr baseColWidth="10" defaultColWidth="8.83203125" defaultRowHeight="15" x14ac:dyDescent="0.2"/>
  <cols>
    <col min="2" max="2" width="13.33203125" bestFit="1" customWidth="1"/>
    <col min="3" max="3" width="11.6640625" bestFit="1" customWidth="1"/>
    <col min="4" max="8" width="10.33203125" bestFit="1" customWidth="1"/>
    <col min="9" max="9" width="11.33203125" bestFit="1" customWidth="1"/>
  </cols>
  <sheetData>
    <row r="1" spans="1:9" x14ac:dyDescent="0.2">
      <c r="A1" s="1" t="s">
        <v>29</v>
      </c>
    </row>
    <row r="2" spans="1:9" x14ac:dyDescent="0.2">
      <c r="A2" s="4" t="s">
        <v>6</v>
      </c>
    </row>
    <row r="3" spans="1:9" x14ac:dyDescent="0.2">
      <c r="B3" t="s">
        <v>3</v>
      </c>
      <c r="C3" t="s">
        <v>32</v>
      </c>
      <c r="D3" s="2" t="s">
        <v>61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</row>
    <row r="4" spans="1:9" x14ac:dyDescent="0.2">
      <c r="A4" t="s">
        <v>30</v>
      </c>
      <c r="B4" s="3">
        <v>999.99999999999989</v>
      </c>
      <c r="C4" s="2">
        <v>1.85</v>
      </c>
      <c r="D4" s="2">
        <v>0.6</v>
      </c>
      <c r="E4" s="2">
        <v>0.4</v>
      </c>
      <c r="F4" s="2">
        <v>1</v>
      </c>
      <c r="G4" s="2">
        <v>2</v>
      </c>
      <c r="H4" s="2">
        <v>1</v>
      </c>
      <c r="I4" s="2">
        <v>2.5</v>
      </c>
    </row>
    <row r="5" spans="1:9" x14ac:dyDescent="0.2">
      <c r="A5" t="s">
        <v>17</v>
      </c>
      <c r="B5" s="3">
        <v>500</v>
      </c>
      <c r="C5" s="2">
        <v>1.4</v>
      </c>
      <c r="D5" s="2">
        <v>0.4</v>
      </c>
      <c r="E5" s="2">
        <v>0.6</v>
      </c>
      <c r="F5" s="2">
        <v>1</v>
      </c>
      <c r="G5" s="2">
        <v>1.5</v>
      </c>
      <c r="H5" s="2">
        <v>0.7</v>
      </c>
      <c r="I5" s="2">
        <v>1.6</v>
      </c>
    </row>
    <row r="6" spans="1:9" x14ac:dyDescent="0.2">
      <c r="A6" t="s">
        <v>31</v>
      </c>
      <c r="B6" s="3">
        <v>80.000000000000128</v>
      </c>
      <c r="C6" s="2">
        <v>1.04</v>
      </c>
      <c r="D6" s="2">
        <v>0.2</v>
      </c>
      <c r="E6" s="2">
        <v>0.8</v>
      </c>
      <c r="F6" s="2">
        <v>1</v>
      </c>
      <c r="G6" s="2">
        <v>1</v>
      </c>
      <c r="H6" s="2">
        <v>0.2</v>
      </c>
      <c r="I6" s="2">
        <v>1.25</v>
      </c>
    </row>
    <row r="7" spans="1:9" x14ac:dyDescent="0.2">
      <c r="A7" t="s">
        <v>23</v>
      </c>
      <c r="B7" s="3">
        <v>200</v>
      </c>
      <c r="C7" s="2">
        <v>1.4</v>
      </c>
      <c r="D7" s="2">
        <v>1</v>
      </c>
      <c r="E7" s="2">
        <v>0</v>
      </c>
      <c r="F7" s="2">
        <v>1</v>
      </c>
      <c r="G7" s="2">
        <v>1.75</v>
      </c>
      <c r="H7" s="2">
        <v>0</v>
      </c>
      <c r="I7" s="2">
        <v>1</v>
      </c>
    </row>
    <row r="8" spans="1:9" x14ac:dyDescent="0.2">
      <c r="B8" s="2"/>
      <c r="C8" s="6" t="s">
        <v>38</v>
      </c>
      <c r="D8" s="2">
        <f>SUMPRODUCT(D4:D7,$B$4:$B$7)</f>
        <v>1015.9999999999999</v>
      </c>
      <c r="E8" s="2">
        <f>SUMPRODUCT(E4:E7,$B$4:$B$7)</f>
        <v>764.00000000000011</v>
      </c>
      <c r="F8" s="2">
        <f>SUMPRODUCT(F4:F7,$B$4:$B$7)</f>
        <v>1780.0000000000002</v>
      </c>
      <c r="G8" s="2">
        <f t="shared" ref="E8:I8" si="0">SUMPRODUCT(G4:G7,$B$4:$B$7)</f>
        <v>3180</v>
      </c>
      <c r="H8" s="2">
        <f t="shared" si="0"/>
        <v>1366</v>
      </c>
      <c r="I8" s="2">
        <f>SUMPRODUCT(I4:I7,$B$4:$B$7)</f>
        <v>3599.9999999999995</v>
      </c>
    </row>
    <row r="9" spans="1:9" x14ac:dyDescent="0.2">
      <c r="B9" s="2"/>
      <c r="C9" s="6" t="s">
        <v>12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</row>
    <row r="10" spans="1:9" x14ac:dyDescent="0.2">
      <c r="C10" s="6" t="s">
        <v>39</v>
      </c>
      <c r="D10" s="2">
        <v>1100</v>
      </c>
      <c r="E10" s="2">
        <v>800</v>
      </c>
      <c r="F10" s="2">
        <v>3600</v>
      </c>
      <c r="G10" s="2">
        <v>3600</v>
      </c>
      <c r="H10" s="2">
        <v>3600</v>
      </c>
      <c r="I10" s="2">
        <v>3600</v>
      </c>
    </row>
    <row r="11" spans="1:9" x14ac:dyDescent="0.2">
      <c r="C11" s="6"/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</row>
    <row r="12" spans="1:9" x14ac:dyDescent="0.2">
      <c r="A12" s="4" t="s">
        <v>7</v>
      </c>
    </row>
    <row r="13" spans="1:9" x14ac:dyDescent="0.2">
      <c r="A13" t="s">
        <v>4</v>
      </c>
      <c r="B13" s="2">
        <f>SUMPRODUCT(C4:C7,B4:B7)</f>
        <v>2913.2000000000003</v>
      </c>
    </row>
    <row r="14" spans="1:9" x14ac:dyDescent="0.2">
      <c r="B14" s="2"/>
    </row>
    <row r="15" spans="1:9" x14ac:dyDescent="0.2">
      <c r="A15" s="4" t="s">
        <v>5</v>
      </c>
    </row>
    <row r="16" spans="1:9" x14ac:dyDescent="0.2">
      <c r="A16" s="2" t="s">
        <v>64</v>
      </c>
      <c r="B16" s="2">
        <f>B4</f>
        <v>999.99999999999989</v>
      </c>
      <c r="C16" s="2" t="s">
        <v>63</v>
      </c>
      <c r="D16" s="2">
        <v>1000</v>
      </c>
    </row>
    <row r="17" spans="1:4" x14ac:dyDescent="0.2">
      <c r="A17" s="5" t="s">
        <v>66</v>
      </c>
      <c r="B17" s="2">
        <f>B5</f>
        <v>500</v>
      </c>
      <c r="C17" s="2" t="s">
        <v>63</v>
      </c>
      <c r="D17" s="2">
        <v>400</v>
      </c>
    </row>
    <row r="18" spans="1:4" x14ac:dyDescent="0.2">
      <c r="A18" s="2" t="s">
        <v>65</v>
      </c>
      <c r="B18" s="2">
        <f>B5</f>
        <v>500</v>
      </c>
      <c r="C18" s="2" t="s">
        <v>12</v>
      </c>
      <c r="D18" s="2">
        <v>500</v>
      </c>
    </row>
    <row r="19" spans="1:4" x14ac:dyDescent="0.2">
      <c r="A19" s="2" t="s">
        <v>67</v>
      </c>
      <c r="B19" s="2">
        <f>B6</f>
        <v>80.000000000000128</v>
      </c>
      <c r="C19" s="2" t="s">
        <v>12</v>
      </c>
      <c r="D19" s="2">
        <v>150</v>
      </c>
    </row>
    <row r="20" spans="1:4" x14ac:dyDescent="0.2">
      <c r="A20" s="2" t="s">
        <v>68</v>
      </c>
      <c r="B20" s="2">
        <f>B7</f>
        <v>200</v>
      </c>
      <c r="C20" s="2" t="s">
        <v>12</v>
      </c>
      <c r="D20" s="2">
        <v>200</v>
      </c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41C9-2330-445B-96B3-BA7F186C0040}">
  <dimension ref="A1:I21"/>
  <sheetViews>
    <sheetView tabSelected="1" zoomScale="120" zoomScaleNormal="120" workbookViewId="0">
      <selection activeCell="D20" sqref="D20"/>
    </sheetView>
  </sheetViews>
  <sheetFormatPr baseColWidth="10" defaultColWidth="8.83203125" defaultRowHeight="15" x14ac:dyDescent="0.2"/>
  <cols>
    <col min="2" max="2" width="13.33203125" bestFit="1" customWidth="1"/>
    <col min="3" max="3" width="11.6640625" bestFit="1" customWidth="1"/>
    <col min="4" max="5" width="10.33203125" bestFit="1" customWidth="1"/>
    <col min="6" max="6" width="11.83203125" bestFit="1" customWidth="1"/>
    <col min="7" max="7" width="10.33203125" bestFit="1" customWidth="1"/>
  </cols>
  <sheetData>
    <row r="1" spans="1:9" x14ac:dyDescent="0.2">
      <c r="A1" s="1" t="s">
        <v>46</v>
      </c>
    </row>
    <row r="2" spans="1:9" x14ac:dyDescent="0.2">
      <c r="A2" s="4" t="s">
        <v>6</v>
      </c>
    </row>
    <row r="3" spans="1:9" x14ac:dyDescent="0.2">
      <c r="B3" t="s">
        <v>3</v>
      </c>
      <c r="C3" t="s">
        <v>32</v>
      </c>
      <c r="D3" s="2" t="s">
        <v>50</v>
      </c>
      <c r="E3" s="2" t="s">
        <v>51</v>
      </c>
      <c r="F3" s="2" t="s">
        <v>52</v>
      </c>
      <c r="G3" s="2" t="s">
        <v>53</v>
      </c>
      <c r="H3" s="2"/>
      <c r="I3" s="2"/>
    </row>
    <row r="4" spans="1:9" x14ac:dyDescent="0.2">
      <c r="A4" t="s">
        <v>47</v>
      </c>
      <c r="B4" s="3">
        <v>500</v>
      </c>
      <c r="C4" s="2">
        <v>53</v>
      </c>
      <c r="D4" s="2">
        <v>20</v>
      </c>
      <c r="E4" s="2">
        <v>28</v>
      </c>
      <c r="F4" s="2">
        <v>8</v>
      </c>
      <c r="G4" s="2">
        <v>0.75</v>
      </c>
      <c r="H4" s="2"/>
      <c r="I4" s="2"/>
    </row>
    <row r="5" spans="1:9" x14ac:dyDescent="0.2">
      <c r="A5" t="s">
        <v>48</v>
      </c>
      <c r="B5" s="3">
        <v>1000</v>
      </c>
      <c r="C5" s="2">
        <v>48</v>
      </c>
      <c r="D5" s="2">
        <v>15</v>
      </c>
      <c r="E5" s="2">
        <v>24</v>
      </c>
      <c r="F5" s="2">
        <v>8</v>
      </c>
      <c r="G5" s="2">
        <v>0.6</v>
      </c>
      <c r="H5" s="2"/>
      <c r="I5" s="2"/>
    </row>
    <row r="6" spans="1:9" x14ac:dyDescent="0.2">
      <c r="A6" t="s">
        <v>14</v>
      </c>
      <c r="B6" s="3">
        <v>1500</v>
      </c>
      <c r="C6" s="2">
        <v>33</v>
      </c>
      <c r="D6" s="2">
        <v>10</v>
      </c>
      <c r="E6" s="2">
        <v>18</v>
      </c>
      <c r="F6" s="2">
        <v>4</v>
      </c>
      <c r="G6" s="2">
        <v>0.5</v>
      </c>
      <c r="H6" s="2"/>
      <c r="I6" s="2"/>
    </row>
    <row r="7" spans="1:9" x14ac:dyDescent="0.2">
      <c r="A7" t="s">
        <v>49</v>
      </c>
      <c r="B7" s="3">
        <v>2250</v>
      </c>
      <c r="C7" s="2">
        <v>32</v>
      </c>
      <c r="D7" s="2">
        <v>8</v>
      </c>
      <c r="E7" s="2">
        <v>12</v>
      </c>
      <c r="F7" s="2">
        <v>4</v>
      </c>
      <c r="G7" s="2">
        <v>0.65</v>
      </c>
      <c r="H7" s="2"/>
      <c r="I7" s="2"/>
    </row>
    <row r="8" spans="1:9" x14ac:dyDescent="0.2">
      <c r="A8" t="s">
        <v>2</v>
      </c>
      <c r="B8" s="3">
        <v>500</v>
      </c>
      <c r="C8" s="2">
        <v>38</v>
      </c>
      <c r="D8" s="2">
        <v>5</v>
      </c>
      <c r="E8" s="2">
        <v>16</v>
      </c>
      <c r="F8" s="2">
        <v>6</v>
      </c>
      <c r="G8" s="2">
        <v>1</v>
      </c>
      <c r="H8" s="2"/>
      <c r="I8" s="2"/>
    </row>
    <row r="9" spans="1:9" x14ac:dyDescent="0.2">
      <c r="B9" s="2"/>
      <c r="C9" s="6" t="s">
        <v>38</v>
      </c>
      <c r="D9" s="2">
        <f>SUMPRODUCT(D4:D8,$B$4:$B$8)</f>
        <v>60500</v>
      </c>
      <c r="E9" s="2">
        <f>SUMPRODUCT(E4:E8,$B$4:$B$8)</f>
        <v>100000</v>
      </c>
      <c r="F9" s="2">
        <f>SUMPRODUCT(F4:F8,$B$4:$B$8)</f>
        <v>30000</v>
      </c>
      <c r="G9" s="2">
        <f>SUMPRODUCT(G4:G8,$B$4:$B$8)</f>
        <v>3687.5</v>
      </c>
      <c r="H9" s="2"/>
      <c r="I9" s="2"/>
    </row>
    <row r="10" spans="1:9" x14ac:dyDescent="0.2">
      <c r="B10" s="2"/>
      <c r="C10" s="6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/>
      <c r="I10" s="2"/>
    </row>
    <row r="11" spans="1:9" x14ac:dyDescent="0.2">
      <c r="C11" s="6" t="s">
        <v>39</v>
      </c>
      <c r="D11" s="2">
        <v>80000</v>
      </c>
      <c r="E11" s="2">
        <v>100000</v>
      </c>
      <c r="F11" s="2">
        <v>30000</v>
      </c>
      <c r="G11" s="2">
        <v>5000</v>
      </c>
      <c r="H11" s="2"/>
      <c r="I11" s="2"/>
    </row>
    <row r="12" spans="1:9" x14ac:dyDescent="0.2">
      <c r="C12" s="6"/>
      <c r="D12" t="s">
        <v>69</v>
      </c>
      <c r="E12" t="s">
        <v>70</v>
      </c>
      <c r="F12" t="s">
        <v>71</v>
      </c>
      <c r="G12" t="s">
        <v>72</v>
      </c>
    </row>
    <row r="13" spans="1:9" x14ac:dyDescent="0.2">
      <c r="A13" s="4" t="s">
        <v>7</v>
      </c>
    </row>
    <row r="14" spans="1:9" x14ac:dyDescent="0.2">
      <c r="A14" t="s">
        <v>4</v>
      </c>
      <c r="B14" s="2">
        <f>SUMPRODUCT(C4:C8,B4:B8)</f>
        <v>215000</v>
      </c>
    </row>
    <row r="15" spans="1:9" x14ac:dyDescent="0.2">
      <c r="B15" s="2"/>
    </row>
    <row r="16" spans="1:9" x14ac:dyDescent="0.2">
      <c r="A16" s="4" t="s">
        <v>5</v>
      </c>
    </row>
    <row r="17" spans="1:4" x14ac:dyDescent="0.2">
      <c r="A17" s="2" t="s">
        <v>73</v>
      </c>
      <c r="B17" s="2">
        <f>B5</f>
        <v>1000</v>
      </c>
      <c r="C17" s="2" t="s">
        <v>74</v>
      </c>
      <c r="D17" s="2">
        <f>2*B4</f>
        <v>1000</v>
      </c>
    </row>
    <row r="18" spans="1:4" x14ac:dyDescent="0.2">
      <c r="A18" s="5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 1</vt:lpstr>
      <vt:lpstr>Problem 2</vt:lpstr>
      <vt:lpstr>Problem 3</vt:lpstr>
      <vt:lpstr>Problem 4</vt:lpstr>
      <vt:lpstr>Problem 5</vt:lpstr>
      <vt:lpstr>Problem 6</vt:lpstr>
      <vt:lpstr>Problem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Pochampally</dc:creator>
  <cp:lastModifiedBy>Rahman, Md Mukidur</cp:lastModifiedBy>
  <dcterms:created xsi:type="dcterms:W3CDTF">2021-12-21T14:09:51Z</dcterms:created>
  <dcterms:modified xsi:type="dcterms:W3CDTF">2025-05-21T14:26:42Z</dcterms:modified>
</cp:coreProperties>
</file>