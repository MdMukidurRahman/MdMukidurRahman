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447192C8-5948-3A41-9E2C-CFDF90A18052}" xr6:coauthVersionLast="47" xr6:coauthVersionMax="47" xr10:uidLastSave="{00000000-0000-0000-0000-000000000000}"/>
  <bookViews>
    <workbookView xWindow="14480" yWindow="160" windowWidth="14180" windowHeight="17680" activeTab="3" xr2:uid="{4797AC53-97C7-476A-A517-1D9BE9D8DDDB}"/>
  </bookViews>
  <sheets>
    <sheet name="Problem 2" sheetId="12" r:id="rId1"/>
    <sheet name="Sensitivity Report 1" sheetId="13" r:id="rId2"/>
    <sheet name="Original Opt Soln" sheetId="1" r:id="rId3"/>
    <sheet name="Original Opt Soln (2)" sheetId="14" r:id="rId4"/>
  </sheets>
  <definedNames>
    <definedName name="solver_adj" localSheetId="2" hidden="1">'Original Opt Soln'!$B$2:$B$4</definedName>
    <definedName name="solver_adj" localSheetId="3" hidden="1">'Original Opt Soln (2)'!$B$2:$B$4</definedName>
    <definedName name="solver_cvg" localSheetId="2" hidden="1">0.0001</definedName>
    <definedName name="solver_cvg" localSheetId="3" hidden="1">0.0001</definedName>
    <definedName name="solver_drv" localSheetId="2" hidden="1">1</definedName>
    <definedName name="solver_drv" localSheetId="3" hidden="1">1</definedName>
    <definedName name="solver_eng" localSheetId="2" hidden="1">2</definedName>
    <definedName name="solver_eng" localSheetId="3" hidden="1">2</definedName>
    <definedName name="solver_est" localSheetId="2" hidden="1">1</definedName>
    <definedName name="solver_est" localSheetId="3" hidden="1">1</definedName>
    <definedName name="solver_itr" localSheetId="2" hidden="1">2147483647</definedName>
    <definedName name="solver_itr" localSheetId="3" hidden="1">2147483647</definedName>
    <definedName name="solver_lhs1" localSheetId="2" hidden="1">'Original Opt Soln'!$B$8:$B$10</definedName>
    <definedName name="solver_lhs1" localSheetId="3" hidden="1">'Original Opt Soln (2)'!$B$8:$B$10</definedName>
    <definedName name="solver_lhs2" localSheetId="2" hidden="1">'Original Opt Soln'!$B$8:$B$10</definedName>
    <definedName name="solver_lhs2" localSheetId="3" hidden="1">'Original Opt Soln (2)'!$B$8:$B$10</definedName>
    <definedName name="solver_lin" localSheetId="2" hidden="1">1</definedName>
    <definedName name="solver_lin" localSheetId="3" hidden="1">1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0.075</definedName>
    <definedName name="solver_mrt" localSheetId="3" hidden="1">0.075</definedName>
    <definedName name="solver_msl" localSheetId="2" hidden="1">2</definedName>
    <definedName name="solver_msl" localSheetId="3" hidden="1">2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od" localSheetId="3" hidden="1">2147483647</definedName>
    <definedName name="solver_num" localSheetId="2" hidden="1">1</definedName>
    <definedName name="solver_num" localSheetId="3" hidden="1">1</definedName>
    <definedName name="solver_nwt" localSheetId="2" hidden="1">1</definedName>
    <definedName name="solver_nwt" localSheetId="3" hidden="1">1</definedName>
    <definedName name="solver_opt" localSheetId="2" hidden="1">'Original Opt Soln'!$B$6</definedName>
    <definedName name="solver_opt" localSheetId="3" hidden="1">'Original Opt Soln (2)'!$B$6</definedName>
    <definedName name="solver_pre" localSheetId="2" hidden="1">0.000001</definedName>
    <definedName name="solver_pre" localSheetId="3" hidden="1">0.000001</definedName>
    <definedName name="solver_rbv" localSheetId="2" hidden="1">1</definedName>
    <definedName name="solver_rbv" localSheetId="3" hidden="1">1</definedName>
    <definedName name="solver_rel1" localSheetId="2" hidden="1">1</definedName>
    <definedName name="solver_rel1" localSheetId="3" hidden="1">1</definedName>
    <definedName name="solver_rel2" localSheetId="2" hidden="1">1</definedName>
    <definedName name="solver_rel2" localSheetId="3" hidden="1">1</definedName>
    <definedName name="solver_rhs1" localSheetId="2" hidden="1">'Original Opt Soln'!$D$8:$D$10</definedName>
    <definedName name="solver_rhs1" localSheetId="3" hidden="1">'Original Opt Soln (2)'!$D$8:$D$10</definedName>
    <definedName name="solver_rhs2" localSheetId="2" hidden="1">'Original Opt Soln'!$D$8:$D$10</definedName>
    <definedName name="solver_rhs2" localSheetId="3" hidden="1">'Original Opt Soln (2)'!$D$8:$D$10</definedName>
    <definedName name="solver_rlx" localSheetId="2" hidden="1">2</definedName>
    <definedName name="solver_rlx" localSheetId="3" hidden="1">2</definedName>
    <definedName name="solver_rsd" localSheetId="2" hidden="1">0</definedName>
    <definedName name="solver_rsd" localSheetId="3" hidden="1">0</definedName>
    <definedName name="solver_scl" localSheetId="2" hidden="1">1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2147483647</definedName>
    <definedName name="solver_tim" localSheetId="3" hidden="1">2147483647</definedName>
    <definedName name="solver_tol" localSheetId="2" hidden="1">0.01</definedName>
    <definedName name="solver_tol" localSheetId="3" hidden="1">0.01</definedName>
    <definedName name="solver_typ" localSheetId="2" hidden="1">1</definedName>
    <definedName name="solver_typ" localSheetId="3" hidden="1">1</definedName>
    <definedName name="solver_val" localSheetId="2" hidden="1">0</definedName>
    <definedName name="solver_val" localSheetId="3" hidden="1">0</definedName>
    <definedName name="solver_ver" localSheetId="2" hidden="1">2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4" l="1"/>
  <c r="B9" i="14"/>
  <c r="B8" i="14"/>
  <c r="B6" i="14"/>
  <c r="B10" i="1"/>
  <c r="B9" i="1"/>
  <c r="B8" i="1"/>
  <c r="B6" i="1"/>
</calcChain>
</file>

<file path=xl/sharedStrings.xml><?xml version="1.0" encoding="utf-8"?>
<sst xmlns="http://schemas.openxmlformats.org/spreadsheetml/2006/main" count="79" uniqueCount="55">
  <si>
    <t>X1</t>
  </si>
  <si>
    <t>X2</t>
  </si>
  <si>
    <t>Initial / Optimal</t>
  </si>
  <si>
    <t>Max Profit</t>
  </si>
  <si>
    <t>Pump</t>
  </si>
  <si>
    <t>Labor</t>
  </si>
  <si>
    <t>Tubing</t>
  </si>
  <si>
    <t>&lt;=</t>
  </si>
  <si>
    <t>Constraints</t>
  </si>
  <si>
    <t>X3</t>
  </si>
  <si>
    <t>Decision Variables</t>
  </si>
  <si>
    <t>X1: # of Aqua-Spas to produce in the next production cycle</t>
  </si>
  <si>
    <t>X2: # of Hydro-Lux tubs to produce in the next production cycle</t>
  </si>
  <si>
    <t>X3: # of Typhoon-Lagoons to produce in the next production cycle</t>
  </si>
  <si>
    <t>Objective Function</t>
  </si>
  <si>
    <t>(350*X1 + 300*X2 + 320*X3)</t>
  </si>
  <si>
    <t>Solver does NOT produce the Sensitivity Report if the decision variables are constrained to be Integers.</t>
  </si>
  <si>
    <t>Sensitivity Analysis: Problem 2</t>
  </si>
  <si>
    <t>max Profit = 350*X1 + 300*X2 + 320*X3</t>
  </si>
  <si>
    <t>Pumps: 1*X1 +1*X2 + 1*X3 &lt;= 200 pumps</t>
  </si>
  <si>
    <t>labor: 9*X1 + 6*X2 + 8*X3 &lt;=1566 hrs</t>
  </si>
  <si>
    <t>Tubing: 12*X1 + 16*X2 + 13*X3 &lt;= 2880ft</t>
  </si>
  <si>
    <t>non-negative: X1,X2,X3 &gt;=0</t>
  </si>
  <si>
    <t>Microsoft Excel 16.100 Sensitivity Report</t>
  </si>
  <si>
    <t>Worksheet: [Sensitivity Problem 2.xlsx]Original Opt Soln</t>
  </si>
  <si>
    <t>Report Created: 20/8/25 4:02:49 AM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</si>
  <si>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</si>
  <si>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</si>
  <si>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</si>
  <si>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</si>
  <si>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</si>
  <si>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</si>
  <si>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</si>
  <si>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</si>
  <si>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</si>
  <si>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</si>
  <si>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</si>
  <si>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</si>
  <si>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</si>
  <si>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</si>
  <si>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</si>
  <si>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</si>
  <si>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$B$2</t>
  </si>
  <si>
    <t>X1 Initial / Optimal</t>
  </si>
  <si>
    <t>$B$3</t>
  </si>
  <si>
    <t>X2 Initial / Optimal</t>
  </si>
  <si>
    <t>$B$4</t>
  </si>
  <si>
    <t>X3 Initial / Optimal</t>
  </si>
  <si>
    <t>$B$8</t>
  </si>
  <si>
    <t>Pump Initial / Optimal</t>
  </si>
  <si>
    <t>$B$9</t>
  </si>
  <si>
    <t>Labor Initial / Optimal</t>
  </si>
  <si>
    <t>$B$10</t>
  </si>
  <si>
    <t>Tubing Initial / Optimal</t>
  </si>
  <si>
    <t>for a positive optimal value of X3, the X3 obj coeff must increase by more than $13.33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</si>
</sst>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3" borderId="4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99"/>
      <color rgb="FF00CC99"/>
      <color rgb="FF00CC66"/>
      <color rgb="FFFF99FF"/>
      <color rgb="FFCC66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14288</xdr:rowOff>
    </xdr:from>
    <xdr:to>
      <xdr:col>11</xdr:col>
      <xdr:colOff>538163</xdr:colOff>
      <xdr:row>19</xdr:row>
      <xdr:rowOff>86245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AD891-32A7-4803-8819-FA895577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263"/>
          <a:ext cx="7662863" cy="3329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D91A-C655-4004-97FE-2D16FD115A04}">
  <dimension ref="A1:H27"/>
  <sheetViews>
    <sheetView topLeftCell="A15" workbookViewId="0">
      <selection activeCell="H26" sqref="H26"/>
    </sheetView>
  </sheetViews>
  <sheetFormatPr baseColWidth="10" defaultColWidth="8.83203125" defaultRowHeight="15" x14ac:dyDescent="0.2"/>
  <sheetData>
    <row r="1" spans="1:1" x14ac:dyDescent="0.2">
      <c r="A1" s="2" t="s">
        <v>17</v>
      </c>
    </row>
    <row r="21" spans="1:8" x14ac:dyDescent="0.2">
      <c r="A21" s="3" t="s">
        <v>10</v>
      </c>
      <c r="H21" s="3" t="s">
        <v>8</v>
      </c>
    </row>
    <row r="22" spans="1:8" x14ac:dyDescent="0.2">
      <c r="A22" t="s">
        <v>11</v>
      </c>
      <c r="H22" t="s">
        <v>19</v>
      </c>
    </row>
    <row r="23" spans="1:8" x14ac:dyDescent="0.2">
      <c r="A23" t="s">
        <v>12</v>
      </c>
      <c r="H23" t="s">
        <v>20</v>
      </c>
    </row>
    <row r="24" spans="1:8" x14ac:dyDescent="0.2">
      <c r="A24" t="s">
        <v>13</v>
      </c>
      <c r="H24" t="s">
        <v>21</v>
      </c>
    </row>
    <row r="25" spans="1:8" x14ac:dyDescent="0.2">
      <c r="H25" t="s">
        <v>22</v>
      </c>
    </row>
    <row r="26" spans="1:8" x14ac:dyDescent="0.2">
      <c r="A26" s="3" t="s">
        <v>14</v>
      </c>
      <c r="H26" s="4" t="s">
        <v>16</v>
      </c>
    </row>
    <row r="27" spans="1:8" x14ac:dyDescent="0.2">
      <c r="A27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B70D-007B-DD43-AF57-CFAA6EE85A37}">
  <dimension ref="A1:I18"/>
  <sheetViews>
    <sheetView showGridLines="0" workbookViewId="0">
      <selection activeCell="I12" sqref="I12"/>
    </sheetView>
  </sheetViews>
  <sheetFormatPr baseColWidth="10" defaultRowHeight="15" x14ac:dyDescent="0.2"/>
  <cols>
    <col min="1" max="1" width="2.33203125" customWidth="1"/>
    <col min="2" max="2" width="6.1640625" bestFit="1" customWidth="1"/>
    <col min="3" max="3" width="18.83203125" bestFit="1" customWidth="1"/>
    <col min="4" max="4" width="5.6640625" bestFit="1" customWidth="1"/>
    <col min="5" max="5" width="12.6640625" bestFit="1" customWidth="1"/>
    <col min="6" max="6" width="9.6640625" bestFit="1" customWidth="1"/>
    <col min="7" max="7" width="12.1640625" bestFit="1" customWidth="1"/>
    <col min="8" max="8" width="9" bestFit="1" customWidth="1"/>
  </cols>
  <sheetData>
    <row r="1" spans="1:9" x14ac:dyDescent="0.2">
      <c r="A1" s="2" t="s">
        <v>23</v>
      </c>
    </row>
    <row r="2" spans="1:9" x14ac:dyDescent="0.2">
      <c r="A2" s="2" t="s">
        <v>24</v>
      </c>
    </row>
    <row r="3" spans="1:9" x14ac:dyDescent="0.2">
      <c r="A3" s="2" t="s">
        <v>25</v>
      </c>
    </row>
    <row r="6" spans="1:9" ht="16" thickBot="1" x14ac:dyDescent="0.25">
      <c r="A6" t="s">
        <v>26</v>
      </c>
    </row>
    <row r="7" spans="1:9" x14ac:dyDescent="0.2">
      <c r="B7" s="8"/>
      <c r="C7" s="8"/>
      <c r="D7" s="8" t="s">
        <v>29</v>
      </c>
      <c r="E7" s="8" t="s">
        <v>31</v>
      </c>
      <c r="F7" s="8" t="s">
        <v>33</v>
      </c>
      <c r="G7" s="8" t="s">
        <v>35</v>
      </c>
      <c r="H7" s="8" t="s">
        <v>35</v>
      </c>
    </row>
    <row r="8" spans="1:9" ht="16" thickBot="1" x14ac:dyDescent="0.25">
      <c r="B8" s="9" t="s">
        <v>27</v>
      </c>
      <c r="C8" s="9" t="s">
        <v>28</v>
      </c>
      <c r="D8" s="9" t="s">
        <v>30</v>
      </c>
      <c r="E8" s="9" t="s">
        <v>32</v>
      </c>
      <c r="F8" s="9" t="s">
        <v>34</v>
      </c>
      <c r="G8" s="9" t="s">
        <v>36</v>
      </c>
      <c r="H8" s="9" t="s">
        <v>37</v>
      </c>
    </row>
    <row r="9" spans="1:9" x14ac:dyDescent="0.2">
      <c r="B9" s="6" t="s">
        <v>42</v>
      </c>
      <c r="C9" s="6" t="s">
        <v>43</v>
      </c>
      <c r="D9" s="6">
        <v>122.00000000000001</v>
      </c>
      <c r="E9" s="6">
        <v>0</v>
      </c>
      <c r="F9" s="6">
        <v>350</v>
      </c>
      <c r="G9" s="6">
        <v>100.00000000000004</v>
      </c>
      <c r="H9" s="6">
        <v>19.999999999999993</v>
      </c>
    </row>
    <row r="10" spans="1:9" x14ac:dyDescent="0.2">
      <c r="B10" s="6" t="s">
        <v>44</v>
      </c>
      <c r="C10" s="6" t="s">
        <v>45</v>
      </c>
      <c r="D10" s="6">
        <v>77.999999999999986</v>
      </c>
      <c r="E10" s="6">
        <v>0</v>
      </c>
      <c r="F10" s="6">
        <v>300</v>
      </c>
      <c r="G10" s="6">
        <v>49.999999999999993</v>
      </c>
      <c r="H10" s="6">
        <v>39.999999999999972</v>
      </c>
    </row>
    <row r="11" spans="1:9" ht="16" thickBot="1" x14ac:dyDescent="0.25">
      <c r="B11" s="7" t="s">
        <v>46</v>
      </c>
      <c r="C11" s="7" t="s">
        <v>47</v>
      </c>
      <c r="D11" s="7">
        <v>0</v>
      </c>
      <c r="E11" s="10">
        <v>-13.333333333333327</v>
      </c>
      <c r="F11" s="7">
        <v>320</v>
      </c>
      <c r="G11" s="7">
        <v>13.333333333333327</v>
      </c>
      <c r="H11" s="7">
        <v>1E+30</v>
      </c>
      <c r="I11" t="s">
        <v>54</v>
      </c>
    </row>
    <row r="13" spans="1:9" ht="16" thickBot="1" x14ac:dyDescent="0.25">
      <c r="A13" t="s">
        <v>8</v>
      </c>
    </row>
    <row r="14" spans="1:9" x14ac:dyDescent="0.2">
      <c r="B14" s="8"/>
      <c r="C14" s="8"/>
      <c r="D14" s="8" t="s">
        <v>29</v>
      </c>
      <c r="E14" s="8" t="s">
        <v>38</v>
      </c>
      <c r="F14" s="8" t="s">
        <v>40</v>
      </c>
      <c r="G14" s="8" t="s">
        <v>35</v>
      </c>
      <c r="H14" s="8" t="s">
        <v>35</v>
      </c>
    </row>
    <row r="15" spans="1:9" ht="16" thickBot="1" x14ac:dyDescent="0.25">
      <c r="B15" s="9" t="s">
        <v>27</v>
      </c>
      <c r="C15" s="9" t="s">
        <v>28</v>
      </c>
      <c r="D15" s="9" t="s">
        <v>30</v>
      </c>
      <c r="E15" s="9" t="s">
        <v>39</v>
      </c>
      <c r="F15" s="9" t="s">
        <v>41</v>
      </c>
      <c r="G15" s="9" t="s">
        <v>36</v>
      </c>
      <c r="H15" s="9" t="s">
        <v>37</v>
      </c>
    </row>
    <row r="16" spans="1:9" x14ac:dyDescent="0.2">
      <c r="B16" s="6" t="s">
        <v>48</v>
      </c>
      <c r="C16" s="6" t="s">
        <v>49</v>
      </c>
      <c r="D16" s="6">
        <v>200</v>
      </c>
      <c r="E16" s="6">
        <v>200.00000000000003</v>
      </c>
      <c r="F16" s="6">
        <v>200</v>
      </c>
      <c r="G16" s="6">
        <v>7.0000000000000062</v>
      </c>
      <c r="H16" s="6">
        <v>26</v>
      </c>
    </row>
    <row r="17" spans="2:8" x14ac:dyDescent="0.2">
      <c r="B17" s="6" t="s">
        <v>50</v>
      </c>
      <c r="C17" s="6" t="s">
        <v>51</v>
      </c>
      <c r="D17" s="6">
        <v>1566</v>
      </c>
      <c r="E17" s="6">
        <v>16.666666666666661</v>
      </c>
      <c r="F17" s="6">
        <v>1566</v>
      </c>
      <c r="G17" s="6">
        <v>234</v>
      </c>
      <c r="H17" s="6">
        <v>126.00000000000013</v>
      </c>
    </row>
    <row r="18" spans="2:8" ht="16" thickBot="1" x14ac:dyDescent="0.25">
      <c r="B18" s="7" t="s">
        <v>52</v>
      </c>
      <c r="C18" s="7" t="s">
        <v>53</v>
      </c>
      <c r="D18" s="7">
        <v>2712</v>
      </c>
      <c r="E18" s="7">
        <v>0</v>
      </c>
      <c r="F18" s="7">
        <v>2880</v>
      </c>
      <c r="G18" s="7">
        <v>1E+30</v>
      </c>
      <c r="H18" s="7">
        <v>168.00000000000011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179C-C229-4768-89CA-D70D92DCC39B}">
  <dimension ref="A1:D10"/>
  <sheetViews>
    <sheetView zoomScale="180" zoomScaleNormal="180" workbookViewId="0">
      <selection activeCell="B11" sqref="B11"/>
    </sheetView>
  </sheetViews>
  <sheetFormatPr baseColWidth="10" defaultColWidth="8.83203125" defaultRowHeight="15" x14ac:dyDescent="0.2"/>
  <cols>
    <col min="2" max="2" width="13.33203125" bestFit="1" customWidth="1"/>
  </cols>
  <sheetData>
    <row r="1" spans="1:4" x14ac:dyDescent="0.2">
      <c r="B1" t="s">
        <v>2</v>
      </c>
    </row>
    <row r="2" spans="1:4" x14ac:dyDescent="0.2">
      <c r="A2" t="s">
        <v>0</v>
      </c>
      <c r="B2" s="5">
        <v>122.00000000000001</v>
      </c>
    </row>
    <row r="3" spans="1:4" x14ac:dyDescent="0.2">
      <c r="A3" t="s">
        <v>1</v>
      </c>
      <c r="B3" s="5">
        <v>77.999999999999986</v>
      </c>
    </row>
    <row r="4" spans="1:4" x14ac:dyDescent="0.2">
      <c r="A4" t="s">
        <v>9</v>
      </c>
      <c r="B4" s="5">
        <v>0</v>
      </c>
    </row>
    <row r="6" spans="1:4" x14ac:dyDescent="0.2">
      <c r="A6" t="s">
        <v>3</v>
      </c>
      <c r="B6" s="1">
        <f>350*B2+300*B3+320*B4</f>
        <v>66100</v>
      </c>
      <c r="C6" t="s">
        <v>15</v>
      </c>
    </row>
    <row r="8" spans="1:4" x14ac:dyDescent="0.2">
      <c r="A8" t="s">
        <v>4</v>
      </c>
      <c r="B8" s="1">
        <f>1*B2+1*B3+1*B4</f>
        <v>200</v>
      </c>
      <c r="C8" s="1" t="s">
        <v>7</v>
      </c>
      <c r="D8" s="1">
        <v>200</v>
      </c>
    </row>
    <row r="9" spans="1:4" x14ac:dyDescent="0.2">
      <c r="A9" t="s">
        <v>5</v>
      </c>
      <c r="B9" s="1">
        <f>9*B2+6*B3+8*B4</f>
        <v>1566</v>
      </c>
      <c r="C9" s="1" t="s">
        <v>7</v>
      </c>
      <c r="D9" s="1">
        <v>1566</v>
      </c>
    </row>
    <row r="10" spans="1:4" x14ac:dyDescent="0.2">
      <c r="A10" t="s">
        <v>6</v>
      </c>
      <c r="B10" s="1">
        <f>12*B2+16*B3+13*B4</f>
        <v>2712</v>
      </c>
      <c r="C10" s="1" t="s">
        <v>7</v>
      </c>
      <c r="D10" s="1">
        <v>2880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C9BB-5C76-2447-81B0-D0105154B84E}">
  <dimension ref="A1:D10"/>
  <sheetViews>
    <sheetView tabSelected="1" zoomScale="180" zoomScaleNormal="180" workbookViewId="0">
      <selection activeCell="B11" sqref="B11"/>
    </sheetView>
  </sheetViews>
  <sheetFormatPr baseColWidth="10" defaultColWidth="8.83203125" defaultRowHeight="15" x14ac:dyDescent="0.2"/>
  <cols>
    <col min="2" max="2" width="13.33203125" bestFit="1" customWidth="1"/>
  </cols>
  <sheetData>
    <row r="1" spans="1:4" x14ac:dyDescent="0.2">
      <c r="B1" t="s">
        <v>2</v>
      </c>
    </row>
    <row r="2" spans="1:4" x14ac:dyDescent="0.2">
      <c r="A2" t="s">
        <v>0</v>
      </c>
      <c r="B2" s="5">
        <v>122.00000000000001</v>
      </c>
    </row>
    <row r="3" spans="1:4" x14ac:dyDescent="0.2">
      <c r="A3" t="s">
        <v>1</v>
      </c>
      <c r="B3" s="5">
        <v>77.999999999999986</v>
      </c>
    </row>
    <row r="4" spans="1:4" x14ac:dyDescent="0.2">
      <c r="A4" t="s">
        <v>9</v>
      </c>
      <c r="B4" s="5">
        <v>0</v>
      </c>
    </row>
    <row r="6" spans="1:4" x14ac:dyDescent="0.2">
      <c r="A6" t="s">
        <v>3</v>
      </c>
      <c r="B6" s="1">
        <f>350*B2+300*B3+320*B4</f>
        <v>66100</v>
      </c>
      <c r="C6" t="s">
        <v>15</v>
      </c>
    </row>
    <row r="8" spans="1:4" x14ac:dyDescent="0.2">
      <c r="A8" t="s">
        <v>4</v>
      </c>
      <c r="B8" s="1">
        <f>1*B2+1*B3+1*B4</f>
        <v>200</v>
      </c>
      <c r="C8" s="1" t="s">
        <v>7</v>
      </c>
      <c r="D8" s="1">
        <v>200</v>
      </c>
    </row>
    <row r="9" spans="1:4" x14ac:dyDescent="0.2">
      <c r="A9" t="s">
        <v>5</v>
      </c>
      <c r="B9" s="1">
        <f>9*B2+6*B3+8*B4</f>
        <v>1566</v>
      </c>
      <c r="C9" s="1" t="s">
        <v>7</v>
      </c>
      <c r="D9" s="1">
        <v>1566</v>
      </c>
    </row>
    <row r="10" spans="1:4" x14ac:dyDescent="0.2">
      <c r="A10" t="s">
        <v>6</v>
      </c>
      <c r="B10" s="1">
        <f>12*B2+16*B3+13*B4</f>
        <v>2712</v>
      </c>
      <c r="C10" s="1" t="s">
        <v>7</v>
      </c>
      <c r="D10" s="1">
        <v>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2</vt:lpstr>
      <vt:lpstr>Sensitivity Report 1</vt:lpstr>
      <vt:lpstr>Original Opt Soln</vt:lpstr>
      <vt:lpstr>Original Opt Soln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Pochampally</dc:creator>
  <cp:lastModifiedBy>Rahman, Md Mukidur</cp:lastModifiedBy>
  <dcterms:created xsi:type="dcterms:W3CDTF">2021-11-26T14:40:14Z</dcterms:created>
  <dcterms:modified xsi:type="dcterms:W3CDTF">2025-08-20T08:06:38Z</dcterms:modified>
</cp:coreProperties>
</file>