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SNHU/4th Semester/Management Sci:Spreadsheet/"/>
    </mc:Choice>
  </mc:AlternateContent>
  <xr:revisionPtr revIDLastSave="0" documentId="8_{4EC23314-C3C8-814C-858F-6C60244D7658}" xr6:coauthVersionLast="47" xr6:coauthVersionMax="47" xr10:uidLastSave="{00000000-0000-0000-0000-000000000000}"/>
  <bookViews>
    <workbookView xWindow="380" yWindow="0" windowWidth="28040" windowHeight="17440" xr2:uid="{81F13B5B-6C1A-0E46-86D1-52D72BE1C306}"/>
  </bookViews>
  <sheets>
    <sheet name="Sheet1" sheetId="1" r:id="rId1"/>
  </sheets>
  <definedNames>
    <definedName name="solver_adj" localSheetId="0" hidden="1">Sheet1!$B$2:$B$8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Sheet1!$B$2:$B$8</definedName>
    <definedName name="solver_lhs2" localSheetId="0" hidden="1">Sheet1!$B$2:$B$8</definedName>
    <definedName name="solver_lhs3" localSheetId="0" hidden="1">Sheet1!$F$2:$F$9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opt" localSheetId="0" hidden="1">Sheet1!$B$10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3</definedName>
    <definedName name="solver_rhs1" localSheetId="0" hidden="1">"integer"</definedName>
    <definedName name="solver_rhs2" localSheetId="0" hidden="1">0</definedName>
    <definedName name="solver_rhs3" localSheetId="0" hidden="1">Sheet1!$H$2:$H$9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H9" i="1"/>
  <c r="H8" i="1"/>
  <c r="B10" i="1"/>
  <c r="F9" i="1"/>
  <c r="F8" i="1"/>
  <c r="F7" i="1"/>
  <c r="F6" i="1"/>
  <c r="F5" i="1"/>
  <c r="F4" i="1"/>
  <c r="F2" i="1"/>
</calcChain>
</file>

<file path=xl/sharedStrings.xml><?xml version="1.0" encoding="utf-8"?>
<sst xmlns="http://schemas.openxmlformats.org/spreadsheetml/2006/main" count="27" uniqueCount="20">
  <si>
    <t>Initial/Optimum</t>
  </si>
  <si>
    <t>Pay ($)</t>
  </si>
  <si>
    <t>Sp</t>
  </si>
  <si>
    <t>Sf</t>
  </si>
  <si>
    <t>Ep</t>
  </si>
  <si>
    <t>Ef</t>
  </si>
  <si>
    <t>tp</t>
  </si>
  <si>
    <t>tf</t>
  </si>
  <si>
    <t>Xp</t>
  </si>
  <si>
    <t>Min Cost</t>
  </si>
  <si>
    <t>Constrains:</t>
  </si>
  <si>
    <t>:(1)</t>
  </si>
  <si>
    <t>:(2)</t>
  </si>
  <si>
    <t>:(3)</t>
  </si>
  <si>
    <t>:(4)</t>
  </si>
  <si>
    <t>:(5)</t>
  </si>
  <si>
    <t>:(6)</t>
  </si>
  <si>
    <t>:(7)</t>
  </si>
  <si>
    <t>:(8)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</si>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</sst>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50800</xdr:rowOff>
    </xdr:from>
    <xdr:to>
      <xdr:col>19</xdr:col>
      <xdr:colOff>800100</xdr:colOff>
      <xdr:row>16</xdr:row>
      <xdr:rowOff>3630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03D630-52AA-3004-8D70-CE40E82A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2900" y="50800"/>
          <a:ext cx="7251700" cy="320403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16</xdr:row>
      <xdr:rowOff>76201</xdr:rowOff>
    </xdr:from>
    <xdr:to>
      <xdr:col>19</xdr:col>
      <xdr:colOff>807533</xdr:colOff>
      <xdr:row>40</xdr:row>
      <xdr:rowOff>50801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62FBD2-BEDA-9F99-A680-8B54684F7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4200" y="3327401"/>
          <a:ext cx="7259133" cy="485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F233-F782-4741-9617-367D2390555F}">
  <dimension ref="A1:H10"/>
  <sheetViews>
    <sheetView tabSelected="1" workbookViewId="0">
      <selection activeCell="B10" sqref="B10"/>
    </sheetView>
  </sheetViews>
  <sheetFormatPr baseColWidth="10" defaultRowHeight="16" x14ac:dyDescent="0.2"/>
  <cols>
    <col min="2" max="2" width="14" bestFit="1" customWidth="1"/>
  </cols>
  <sheetData>
    <row r="1" spans="1:8" x14ac:dyDescent="0.2">
      <c r="B1" s="1" t="s">
        <v>0</v>
      </c>
      <c r="C1" s="1" t="s">
        <v>1</v>
      </c>
      <c r="E1" t="s">
        <v>10</v>
      </c>
    </row>
    <row r="2" spans="1:8" x14ac:dyDescent="0.2">
      <c r="A2" t="s">
        <v>2</v>
      </c>
      <c r="B2" s="2">
        <v>10</v>
      </c>
      <c r="C2" s="1">
        <v>32</v>
      </c>
      <c r="E2" t="s">
        <v>11</v>
      </c>
      <c r="F2">
        <f>B2+B3</f>
        <v>11</v>
      </c>
      <c r="G2" t="s">
        <v>19</v>
      </c>
      <c r="H2">
        <v>11</v>
      </c>
    </row>
    <row r="3" spans="1:8" x14ac:dyDescent="0.2">
      <c r="A3" t="s">
        <v>3</v>
      </c>
      <c r="B3" s="2">
        <v>1</v>
      </c>
      <c r="C3" s="1">
        <v>80</v>
      </c>
      <c r="E3" t="s">
        <v>12</v>
      </c>
      <c r="F3">
        <f>B3+B4+B5</f>
        <v>24</v>
      </c>
      <c r="G3" t="s">
        <v>19</v>
      </c>
      <c r="H3">
        <v>24</v>
      </c>
    </row>
    <row r="4" spans="1:8" x14ac:dyDescent="0.2">
      <c r="A4" t="s">
        <v>4</v>
      </c>
      <c r="B4" s="2">
        <v>16</v>
      </c>
      <c r="C4" s="1">
        <v>32</v>
      </c>
      <c r="E4" t="s">
        <v>13</v>
      </c>
      <c r="F4">
        <f>B5+B6+B7</f>
        <v>22</v>
      </c>
      <c r="G4" t="s">
        <v>19</v>
      </c>
      <c r="H4">
        <v>22</v>
      </c>
    </row>
    <row r="5" spans="1:8" x14ac:dyDescent="0.2">
      <c r="A5" t="s">
        <v>5</v>
      </c>
      <c r="B5" s="2">
        <v>7</v>
      </c>
      <c r="C5" s="1">
        <v>80</v>
      </c>
      <c r="E5" t="s">
        <v>14</v>
      </c>
      <c r="F5">
        <f>B7+B8</f>
        <v>17</v>
      </c>
      <c r="G5" t="s">
        <v>19</v>
      </c>
      <c r="H5">
        <v>17</v>
      </c>
    </row>
    <row r="6" spans="1:8" x14ac:dyDescent="0.2">
      <c r="A6" t="s">
        <v>6</v>
      </c>
      <c r="B6" s="2">
        <v>14</v>
      </c>
      <c r="C6" s="1">
        <v>32</v>
      </c>
      <c r="E6" t="s">
        <v>15</v>
      </c>
      <c r="F6">
        <f>B3</f>
        <v>1</v>
      </c>
      <c r="G6" t="s">
        <v>19</v>
      </c>
      <c r="H6">
        <v>1</v>
      </c>
    </row>
    <row r="7" spans="1:8" x14ac:dyDescent="0.2">
      <c r="A7" t="s">
        <v>7</v>
      </c>
      <c r="B7" s="2">
        <v>1</v>
      </c>
      <c r="C7" s="1">
        <v>80</v>
      </c>
      <c r="E7" t="s">
        <v>16</v>
      </c>
      <c r="F7">
        <f>B7</f>
        <v>1</v>
      </c>
      <c r="G7" t="s">
        <v>19</v>
      </c>
      <c r="H7">
        <v>1</v>
      </c>
    </row>
    <row r="8" spans="1:8" x14ac:dyDescent="0.2">
      <c r="A8" t="s">
        <v>8</v>
      </c>
      <c r="B8" s="2">
        <v>16</v>
      </c>
      <c r="C8" s="1">
        <v>32</v>
      </c>
      <c r="E8" t="s">
        <v>17</v>
      </c>
      <c r="F8">
        <f>B3+B5</f>
        <v>8</v>
      </c>
      <c r="G8" t="s">
        <v>19</v>
      </c>
      <c r="H8">
        <f>0.3*(B3+B5+B4)</f>
        <v>7.1999999999999993</v>
      </c>
    </row>
    <row r="9" spans="1:8" x14ac:dyDescent="0.2">
      <c r="E9" t="s">
        <v>18</v>
      </c>
      <c r="F9">
        <f>B5+B7</f>
        <v>8</v>
      </c>
      <c r="G9" t="s">
        <v>19</v>
      </c>
      <c r="H9">
        <f>0.3*(B5+B7+B6)</f>
        <v>6.6</v>
      </c>
    </row>
    <row r="10" spans="1:8" x14ac:dyDescent="0.2">
      <c r="A10" t="s">
        <v>9</v>
      </c>
      <c r="B10">
        <f>SUMPRODUCT(C2:C8,B2:B8)</f>
        <v>2512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Md Mukidur</dc:creator>
  <cp:lastModifiedBy>Rahman, Md Mukidur</cp:lastModifiedBy>
  <dcterms:created xsi:type="dcterms:W3CDTF">2025-07-30T14:07:16Z</dcterms:created>
  <dcterms:modified xsi:type="dcterms:W3CDTF">2025-07-30T17:09:51Z</dcterms:modified>
</cp:coreProperties>
</file>